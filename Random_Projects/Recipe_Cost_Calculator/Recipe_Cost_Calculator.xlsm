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 codeName="{801CCD77-7B78-1753-DF39-40050F3742D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ckfrancis/Documents/GitHub/Code_Examples/Random_Projects/Recipe_Cost_Calculator/"/>
    </mc:Choice>
  </mc:AlternateContent>
  <xr:revisionPtr revIDLastSave="0" documentId="8_{17EF58C0-31BF-2643-94D4-E2BDD59D4705}" xr6:coauthVersionLast="45" xr6:coauthVersionMax="45" xr10:uidLastSave="{00000000-0000-0000-0000-000000000000}"/>
  <bookViews>
    <workbookView xWindow="0" yWindow="460" windowWidth="28800" windowHeight="16680" xr2:uid="{D387E19D-1D53-FB4E-8357-4B5144C1CE91}"/>
  </bookViews>
  <sheets>
    <sheet name="Summary" sheetId="16" r:id="rId1"/>
    <sheet name="Ingredients" sheetId="15" r:id="rId2"/>
    <sheet name="Meal_1" sheetId="1" r:id="rId3"/>
    <sheet name="Meal_2" sheetId="2" r:id="rId4"/>
    <sheet name="Meal_3" sheetId="3" r:id="rId5"/>
    <sheet name="Meal_4" sheetId="4" r:id="rId6"/>
    <sheet name="Meal_5" sheetId="5" r:id="rId7"/>
    <sheet name="Meal_6" sheetId="6" r:id="rId8"/>
    <sheet name="Meal_7" sheetId="7" r:id="rId9"/>
    <sheet name="Meal_8" sheetId="8" r:id="rId10"/>
    <sheet name="Meal_9" sheetId="9" r:id="rId11"/>
    <sheet name="Meal_10" sheetId="10" r:id="rId12"/>
    <sheet name="Meal_11" sheetId="11" r:id="rId13"/>
    <sheet name="Meal_12" sheetId="12" r:id="rId14"/>
    <sheet name="Meal_13" sheetId="13" r:id="rId15"/>
    <sheet name="Meal_14" sheetId="14" r:id="rId16"/>
  </sheets>
  <definedNames>
    <definedName name="_xlnm._FilterDatabase" localSheetId="1" hidden="1">Ingredients!$G$1:$H$558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3" i="1" l="1"/>
  <c r="D26" i="14" l="1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6" i="14"/>
  <c r="D5" i="14"/>
  <c r="D4" i="14"/>
  <c r="C4" i="14"/>
  <c r="C3" i="14"/>
  <c r="D3" i="14" s="1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" i="13"/>
  <c r="C4" i="13"/>
  <c r="C3" i="13"/>
  <c r="D3" i="13" s="1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4" i="12"/>
  <c r="C4" i="12"/>
  <c r="C3" i="12"/>
  <c r="D3" i="12" s="1"/>
  <c r="D26" i="11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4" i="11"/>
  <c r="C4" i="11"/>
  <c r="C3" i="11"/>
  <c r="D3" i="11" s="1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C4" i="10"/>
  <c r="C3" i="10"/>
  <c r="D3" i="10" s="1"/>
  <c r="G2" i="10" s="1"/>
  <c r="D11" i="16" s="1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4" i="9"/>
  <c r="C4" i="9"/>
  <c r="C3" i="9"/>
  <c r="D3" i="9" s="1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7" i="8"/>
  <c r="D6" i="8"/>
  <c r="D5" i="8"/>
  <c r="D4" i="8"/>
  <c r="C4" i="8"/>
  <c r="C3" i="8"/>
  <c r="D3" i="8" s="1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C4" i="7"/>
  <c r="C3" i="7"/>
  <c r="D3" i="7" s="1"/>
  <c r="G2" i="7" s="1"/>
  <c r="D8" i="16" s="1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C4" i="6"/>
  <c r="C3" i="6"/>
  <c r="D3" i="6" s="1"/>
  <c r="G2" i="6" s="1"/>
  <c r="D7" i="16" s="1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C4" i="5"/>
  <c r="C3" i="5"/>
  <c r="D3" i="5" s="1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C4" i="4"/>
  <c r="C3" i="4"/>
  <c r="D3" i="4" s="1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C4" i="3"/>
  <c r="C3" i="3"/>
  <c r="D3" i="3" s="1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C4" i="2"/>
  <c r="C3" i="2"/>
  <c r="D3" i="2" s="1"/>
  <c r="C2" i="16"/>
  <c r="C15" i="16"/>
  <c r="C14" i="16"/>
  <c r="C13" i="16"/>
  <c r="C12" i="16"/>
  <c r="C11" i="16"/>
  <c r="C10" i="16"/>
  <c r="C9" i="16"/>
  <c r="C8" i="16"/>
  <c r="C7" i="16"/>
  <c r="C6" i="16"/>
  <c r="C5" i="16"/>
  <c r="C4" i="16"/>
  <c r="C3" i="16"/>
  <c r="G2" i="8" l="1"/>
  <c r="D9" i="16" s="1"/>
  <c r="G2" i="2"/>
  <c r="D3" i="16" s="1"/>
  <c r="G2" i="9"/>
  <c r="D10" i="16" s="1"/>
  <c r="G2" i="3"/>
  <c r="D4" i="16" s="1"/>
  <c r="G2" i="4"/>
  <c r="D5" i="16" s="1"/>
  <c r="G2" i="5"/>
  <c r="D6" i="16" s="1"/>
  <c r="G2" i="12"/>
  <c r="D13" i="16" s="1"/>
  <c r="G2" i="13"/>
  <c r="D14" i="16" s="1"/>
  <c r="G2" i="14"/>
  <c r="D15" i="16" s="1"/>
  <c r="G2" i="11"/>
  <c r="D12" i="16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H143" i="15"/>
  <c r="H144" i="15"/>
  <c r="H145" i="15"/>
  <c r="H146" i="15"/>
  <c r="H147" i="15"/>
  <c r="H148" i="15"/>
  <c r="H149" i="15"/>
  <c r="H150" i="15"/>
  <c r="H151" i="15"/>
  <c r="H152" i="15"/>
  <c r="H153" i="15"/>
  <c r="H154" i="15"/>
  <c r="H155" i="15"/>
  <c r="H156" i="15"/>
  <c r="H157" i="15"/>
  <c r="H158" i="15"/>
  <c r="H159" i="15"/>
  <c r="H160" i="15"/>
  <c r="H161" i="15"/>
  <c r="H162" i="15"/>
  <c r="H163" i="15"/>
  <c r="H164" i="15"/>
  <c r="H165" i="15"/>
  <c r="H166" i="15"/>
  <c r="H167" i="15"/>
  <c r="H168" i="15"/>
  <c r="H169" i="15"/>
  <c r="H170" i="15"/>
  <c r="H171" i="15"/>
  <c r="H172" i="15"/>
  <c r="H173" i="15"/>
  <c r="H174" i="15"/>
  <c r="H175" i="15"/>
  <c r="H176" i="15"/>
  <c r="H177" i="15"/>
  <c r="H178" i="15"/>
  <c r="H179" i="15"/>
  <c r="H180" i="15"/>
  <c r="H181" i="15"/>
  <c r="H182" i="15"/>
  <c r="H183" i="15"/>
  <c r="H184" i="15"/>
  <c r="H185" i="15"/>
  <c r="H186" i="15"/>
  <c r="H187" i="15"/>
  <c r="H188" i="15"/>
  <c r="H189" i="15"/>
  <c r="H190" i="15"/>
  <c r="H191" i="15"/>
  <c r="H192" i="15"/>
  <c r="H193" i="15"/>
  <c r="H194" i="15"/>
  <c r="H195" i="15"/>
  <c r="H196" i="15"/>
  <c r="H197" i="15"/>
  <c r="H198" i="15"/>
  <c r="H199" i="15"/>
  <c r="H200" i="15"/>
  <c r="H201" i="15"/>
  <c r="H202" i="15"/>
  <c r="H203" i="15"/>
  <c r="H204" i="15"/>
  <c r="H205" i="15"/>
  <c r="H206" i="15"/>
  <c r="H207" i="15"/>
  <c r="H208" i="15"/>
  <c r="H209" i="15"/>
  <c r="H210" i="15"/>
  <c r="H211" i="15"/>
  <c r="H212" i="15"/>
  <c r="H213" i="15"/>
  <c r="H214" i="15"/>
  <c r="H215" i="15"/>
  <c r="H216" i="15"/>
  <c r="H217" i="15"/>
  <c r="H218" i="15"/>
  <c r="H219" i="15"/>
  <c r="H220" i="15"/>
  <c r="H221" i="15"/>
  <c r="H222" i="15"/>
  <c r="H223" i="15"/>
  <c r="H224" i="15"/>
  <c r="H225" i="15"/>
  <c r="H226" i="15"/>
  <c r="H227" i="15"/>
  <c r="H228" i="15"/>
  <c r="H229" i="15"/>
  <c r="H230" i="15"/>
  <c r="H231" i="15"/>
  <c r="H232" i="15"/>
  <c r="H233" i="15"/>
  <c r="H234" i="15"/>
  <c r="H235" i="15"/>
  <c r="H236" i="15"/>
  <c r="H237" i="15"/>
  <c r="H238" i="15"/>
  <c r="H239" i="15"/>
  <c r="H240" i="15"/>
  <c r="H241" i="15"/>
  <c r="H242" i="15"/>
  <c r="H243" i="15"/>
  <c r="H244" i="15"/>
  <c r="H245" i="15"/>
  <c r="H246" i="15"/>
  <c r="H247" i="15"/>
  <c r="H248" i="15"/>
  <c r="H249" i="15"/>
  <c r="H250" i="15"/>
  <c r="H251" i="15"/>
  <c r="H252" i="15"/>
  <c r="H253" i="15"/>
  <c r="H254" i="15"/>
  <c r="H255" i="15"/>
  <c r="H256" i="15"/>
  <c r="H257" i="15"/>
  <c r="H258" i="15"/>
  <c r="H259" i="15"/>
  <c r="H260" i="15"/>
  <c r="H261" i="15"/>
  <c r="H262" i="15"/>
  <c r="H263" i="15"/>
  <c r="H264" i="15"/>
  <c r="H265" i="15"/>
  <c r="H266" i="15"/>
  <c r="H267" i="15"/>
  <c r="H268" i="15"/>
  <c r="H269" i="15"/>
  <c r="H270" i="15"/>
  <c r="H271" i="15"/>
  <c r="H272" i="15"/>
  <c r="H273" i="15"/>
  <c r="H274" i="15"/>
  <c r="H275" i="15"/>
  <c r="H276" i="15"/>
  <c r="H277" i="15"/>
  <c r="H278" i="15"/>
  <c r="H279" i="15"/>
  <c r="H280" i="15"/>
  <c r="H281" i="15"/>
  <c r="H282" i="15"/>
  <c r="H283" i="15"/>
  <c r="H284" i="15"/>
  <c r="H285" i="15"/>
  <c r="H286" i="15"/>
  <c r="H287" i="15"/>
  <c r="H288" i="15"/>
  <c r="H289" i="15"/>
  <c r="H290" i="15"/>
  <c r="H291" i="15"/>
  <c r="H292" i="15"/>
  <c r="H293" i="15"/>
  <c r="H294" i="15"/>
  <c r="H295" i="15"/>
  <c r="H296" i="15"/>
  <c r="H297" i="15"/>
  <c r="H298" i="15"/>
  <c r="H299" i="15"/>
  <c r="H300" i="15"/>
  <c r="H301" i="15"/>
  <c r="H302" i="15"/>
  <c r="H303" i="15"/>
  <c r="H304" i="15"/>
  <c r="H305" i="15"/>
  <c r="H306" i="15"/>
  <c r="H307" i="15"/>
  <c r="H308" i="15"/>
  <c r="H309" i="15"/>
  <c r="H310" i="15"/>
  <c r="H311" i="15"/>
  <c r="H312" i="15"/>
  <c r="H313" i="15"/>
  <c r="H314" i="15"/>
  <c r="H315" i="15"/>
  <c r="H316" i="15"/>
  <c r="H317" i="15"/>
  <c r="H318" i="15"/>
  <c r="H319" i="15"/>
  <c r="H320" i="15"/>
  <c r="H321" i="15"/>
  <c r="H322" i="15"/>
  <c r="H323" i="15"/>
  <c r="H324" i="15"/>
  <c r="H325" i="15"/>
  <c r="H326" i="15"/>
  <c r="H327" i="15"/>
  <c r="H328" i="15"/>
  <c r="H329" i="15"/>
  <c r="H330" i="15"/>
  <c r="H331" i="15"/>
  <c r="H332" i="15"/>
  <c r="H333" i="15"/>
  <c r="H334" i="15"/>
  <c r="H335" i="15"/>
  <c r="H336" i="15"/>
  <c r="H337" i="15"/>
  <c r="H338" i="15"/>
  <c r="H339" i="15"/>
  <c r="H340" i="15"/>
  <c r="H341" i="15"/>
  <c r="H342" i="15"/>
  <c r="H343" i="15"/>
  <c r="H344" i="15"/>
  <c r="H345" i="15"/>
  <c r="H346" i="15"/>
  <c r="H347" i="15"/>
  <c r="H348" i="15"/>
  <c r="H349" i="15"/>
  <c r="H350" i="15"/>
  <c r="H351" i="15"/>
  <c r="H352" i="15"/>
  <c r="H353" i="15"/>
  <c r="H354" i="15"/>
  <c r="H355" i="15"/>
  <c r="H356" i="15"/>
  <c r="H357" i="15"/>
  <c r="H358" i="15"/>
  <c r="H359" i="15"/>
  <c r="H360" i="15"/>
  <c r="H361" i="15"/>
  <c r="H362" i="15"/>
  <c r="H363" i="15"/>
  <c r="H364" i="15"/>
  <c r="H365" i="15"/>
  <c r="H366" i="15"/>
  <c r="H367" i="15"/>
  <c r="H368" i="15"/>
  <c r="H369" i="15"/>
  <c r="H370" i="15"/>
  <c r="H371" i="15"/>
  <c r="H372" i="15"/>
  <c r="H373" i="15"/>
  <c r="H374" i="15"/>
  <c r="H375" i="15"/>
  <c r="H376" i="15"/>
  <c r="H377" i="15"/>
  <c r="H378" i="15"/>
  <c r="H379" i="15"/>
  <c r="H380" i="15"/>
  <c r="H381" i="15"/>
  <c r="H382" i="15"/>
  <c r="H383" i="15"/>
  <c r="H384" i="15"/>
  <c r="H385" i="15"/>
  <c r="H386" i="15"/>
  <c r="H387" i="15"/>
  <c r="H388" i="15"/>
  <c r="H389" i="15"/>
  <c r="H390" i="15"/>
  <c r="H391" i="15"/>
  <c r="H392" i="15"/>
  <c r="H393" i="15"/>
  <c r="H394" i="15"/>
  <c r="H395" i="15"/>
  <c r="H396" i="15"/>
  <c r="H397" i="15"/>
  <c r="H398" i="15"/>
  <c r="H399" i="15"/>
  <c r="H400" i="15"/>
  <c r="H401" i="15"/>
  <c r="H402" i="15"/>
  <c r="H403" i="15"/>
  <c r="H404" i="15"/>
  <c r="H405" i="15"/>
  <c r="H406" i="15"/>
  <c r="H407" i="15"/>
  <c r="H408" i="15"/>
  <c r="H409" i="15"/>
  <c r="H410" i="15"/>
  <c r="H411" i="15"/>
  <c r="H412" i="15"/>
  <c r="H413" i="15"/>
  <c r="H414" i="15"/>
  <c r="H415" i="15"/>
  <c r="H416" i="15"/>
  <c r="H417" i="15"/>
  <c r="H418" i="15"/>
  <c r="H419" i="15"/>
  <c r="H420" i="15"/>
  <c r="H421" i="15"/>
  <c r="H422" i="15"/>
  <c r="H423" i="15"/>
  <c r="H424" i="15"/>
  <c r="H425" i="15"/>
  <c r="H426" i="15"/>
  <c r="H427" i="15"/>
  <c r="H428" i="15"/>
  <c r="H429" i="15"/>
  <c r="H430" i="15"/>
  <c r="H431" i="15"/>
  <c r="H432" i="15"/>
  <c r="H433" i="15"/>
  <c r="H434" i="15"/>
  <c r="H435" i="15"/>
  <c r="H436" i="15"/>
  <c r="H437" i="15"/>
  <c r="H438" i="15"/>
  <c r="H439" i="15"/>
  <c r="H440" i="15"/>
  <c r="H441" i="15"/>
  <c r="H442" i="15"/>
  <c r="H443" i="15"/>
  <c r="H444" i="15"/>
  <c r="H445" i="15"/>
  <c r="H446" i="15"/>
  <c r="H447" i="15"/>
  <c r="H448" i="15"/>
  <c r="H449" i="15"/>
  <c r="H450" i="15"/>
  <c r="H451" i="15"/>
  <c r="H452" i="15"/>
  <c r="H453" i="15"/>
  <c r="H454" i="15"/>
  <c r="H455" i="15"/>
  <c r="H456" i="15"/>
  <c r="H457" i="15"/>
  <c r="H458" i="15"/>
  <c r="H459" i="15"/>
  <c r="H460" i="15"/>
  <c r="H461" i="15"/>
  <c r="H462" i="15"/>
  <c r="H463" i="15"/>
  <c r="H464" i="15"/>
  <c r="H465" i="15"/>
  <c r="H466" i="15"/>
  <c r="H467" i="15"/>
  <c r="H468" i="15"/>
  <c r="H469" i="15"/>
  <c r="H470" i="15"/>
  <c r="H471" i="15"/>
  <c r="H472" i="15"/>
  <c r="H473" i="15"/>
  <c r="H474" i="15"/>
  <c r="H475" i="15"/>
  <c r="H476" i="15"/>
  <c r="H477" i="15"/>
  <c r="H478" i="15"/>
  <c r="H479" i="15"/>
  <c r="H480" i="15"/>
  <c r="H481" i="15"/>
  <c r="H482" i="15"/>
  <c r="H483" i="15"/>
  <c r="H484" i="15"/>
  <c r="H485" i="15"/>
  <c r="H486" i="15"/>
  <c r="H487" i="15"/>
  <c r="H488" i="15"/>
  <c r="H489" i="15"/>
  <c r="H490" i="15"/>
  <c r="H491" i="15"/>
  <c r="H492" i="15"/>
  <c r="H493" i="15"/>
  <c r="H494" i="15"/>
  <c r="H495" i="15"/>
  <c r="H496" i="15"/>
  <c r="H497" i="15"/>
  <c r="H498" i="15"/>
  <c r="H499" i="15"/>
  <c r="H500" i="15"/>
  <c r="H501" i="15"/>
  <c r="H502" i="15"/>
  <c r="H503" i="15"/>
  <c r="H504" i="15"/>
  <c r="H505" i="15"/>
  <c r="H506" i="15"/>
  <c r="H507" i="15"/>
  <c r="H508" i="15"/>
  <c r="H509" i="15"/>
  <c r="H510" i="15"/>
  <c r="H511" i="15"/>
  <c r="H512" i="15"/>
  <c r="H513" i="15"/>
  <c r="H514" i="15"/>
  <c r="H515" i="15"/>
  <c r="H516" i="15"/>
  <c r="H517" i="15"/>
  <c r="H518" i="15"/>
  <c r="H519" i="15"/>
  <c r="H520" i="15"/>
  <c r="H521" i="15"/>
  <c r="H522" i="15"/>
  <c r="H523" i="15"/>
  <c r="H524" i="15"/>
  <c r="H525" i="15"/>
  <c r="H526" i="15"/>
  <c r="H527" i="15"/>
  <c r="H528" i="15"/>
  <c r="H529" i="15"/>
  <c r="H530" i="15"/>
  <c r="H531" i="15"/>
  <c r="H532" i="15"/>
  <c r="H533" i="15"/>
  <c r="H534" i="15"/>
  <c r="H535" i="15"/>
  <c r="H536" i="15"/>
  <c r="H537" i="15"/>
  <c r="H538" i="15"/>
  <c r="H539" i="15"/>
  <c r="H540" i="15"/>
  <c r="H541" i="15"/>
  <c r="H542" i="15"/>
  <c r="H543" i="15"/>
  <c r="H544" i="15"/>
  <c r="H545" i="15"/>
  <c r="H546" i="15"/>
  <c r="H547" i="15"/>
  <c r="H548" i="15"/>
  <c r="H549" i="15"/>
  <c r="H550" i="15"/>
  <c r="H551" i="15"/>
  <c r="H552" i="15"/>
  <c r="H553" i="15"/>
  <c r="H554" i="15"/>
  <c r="H555" i="15"/>
  <c r="H556" i="15"/>
  <c r="H557" i="15"/>
  <c r="H558" i="15"/>
  <c r="H119" i="15"/>
  <c r="H120" i="15"/>
  <c r="H121" i="15"/>
  <c r="H122" i="15"/>
  <c r="H123" i="15"/>
  <c r="H124" i="15"/>
  <c r="H125" i="15"/>
  <c r="H126" i="15"/>
  <c r="H127" i="15"/>
  <c r="H128" i="15"/>
  <c r="H129" i="15"/>
  <c r="H130" i="15"/>
  <c r="H131" i="15"/>
  <c r="H132" i="15"/>
  <c r="H133" i="15"/>
  <c r="H134" i="15"/>
  <c r="H135" i="15"/>
  <c r="H136" i="15"/>
  <c r="H137" i="15"/>
  <c r="H138" i="15"/>
  <c r="H139" i="15"/>
  <c r="H140" i="15"/>
  <c r="H141" i="15"/>
  <c r="H14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95" i="15"/>
  <c r="H96" i="15"/>
  <c r="H97" i="15"/>
  <c r="H98" i="15"/>
  <c r="H99" i="15"/>
  <c r="H100" i="15"/>
  <c r="H101" i="15"/>
  <c r="H102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G46" i="15"/>
  <c r="H46" i="15" s="1"/>
  <c r="G2" i="1" l="1"/>
  <c r="F3" i="16"/>
  <c r="F4" i="16"/>
  <c r="F5" i="16"/>
  <c r="F6" i="16"/>
  <c r="F7" i="16"/>
  <c r="F9" i="16"/>
  <c r="F10" i="16"/>
  <c r="F11" i="16"/>
  <c r="F12" i="16"/>
  <c r="F13" i="16"/>
  <c r="F14" i="16"/>
  <c r="F15" i="16"/>
  <c r="F8" i="16"/>
  <c r="D2" i="16" l="1"/>
  <c r="F2" i="16" s="1"/>
  <c r="F17" i="16" s="1"/>
</calcChain>
</file>

<file path=xl/sharedStrings.xml><?xml version="1.0" encoding="utf-8"?>
<sst xmlns="http://schemas.openxmlformats.org/spreadsheetml/2006/main" count="350" uniqueCount="228">
  <si>
    <t>Recipe:</t>
  </si>
  <si>
    <t>Ingredient</t>
  </si>
  <si>
    <t>Amount</t>
  </si>
  <si>
    <t>Price</t>
  </si>
  <si>
    <t>Beef</t>
  </si>
  <si>
    <t>Cheese</t>
  </si>
  <si>
    <t>Servings:</t>
  </si>
  <si>
    <t>Price per Serving</t>
  </si>
  <si>
    <t>Price per Serving:</t>
  </si>
  <si>
    <t>Banana</t>
  </si>
  <si>
    <t>Broccoli - Crowns</t>
  </si>
  <si>
    <t>Buitoni Linguine</t>
  </si>
  <si>
    <t>Cento Roasted Peppers</t>
  </si>
  <si>
    <t>Cucumbers</t>
  </si>
  <si>
    <t>Dash of That™ Spatula</t>
  </si>
  <si>
    <t>DeLallo Quartered and Marinated Artichoke Hearts</t>
  </si>
  <si>
    <t>Fritos Original</t>
  </si>
  <si>
    <t>Hidden Valley Buttermilk Ranch Dressing Mix</t>
  </si>
  <si>
    <t>Lemons - Large</t>
  </si>
  <si>
    <t>Libman Scrubster Mop</t>
  </si>
  <si>
    <t>Limes - Large</t>
  </si>
  <si>
    <t>Mott's 100% Original Apple Juice</t>
  </si>
  <si>
    <t>Onions - Green</t>
  </si>
  <si>
    <t>Onions - Red - Jumbo</t>
  </si>
  <si>
    <t>Peaches - Yellow</t>
  </si>
  <si>
    <t>Pine-Sol Lavender Multi-Purpose Cleaner</t>
  </si>
  <si>
    <t>Potatoes - Red</t>
  </si>
  <si>
    <t>Purity Chocolate Milk</t>
  </si>
  <si>
    <t>Rubbermaid Take Alongs Mini Snackers - 6 Pack - Clear/Red</t>
  </si>
  <si>
    <t>Silk Protein Original Soymilk</t>
  </si>
  <si>
    <t>Simple Truth Organic Extra Firm Twin Tofu Pack</t>
  </si>
  <si>
    <t>Sprayco Spray Bottle</t>
  </si>
  <si>
    <t>Swanson Chicken Stock</t>
  </si>
  <si>
    <t>Tomatoes - On The Vine</t>
  </si>
  <si>
    <t>Zatarain's Frozen Blackened Chicken Alfredo</t>
  </si>
  <si>
    <t>Amy's Organic Hearty French Country Vegetable</t>
  </si>
  <si>
    <t>Amy's Thai Coconut Soup</t>
  </si>
  <si>
    <t>Amy's Vegetable Pot Pie</t>
  </si>
  <si>
    <t>Bakery Fresh Goodness Apple Fritters</t>
  </si>
  <si>
    <t>Ball Park Bun Size Beef Franks</t>
  </si>
  <si>
    <t>Blue Bell Homemade Vanilla Cups</t>
  </si>
  <si>
    <t>Grapes - Red - Seedless</t>
  </si>
  <si>
    <t>Pillsbury Original Crescent Rolls</t>
  </si>
  <si>
    <t>Progresso Gluten Free Vegetable Classics Garden Vegetable Soup</t>
  </si>
  <si>
    <t>Seedless Watermelon</t>
  </si>
  <si>
    <t>Simple Truth Hot Whole Roasted Chicken (NOT AVAILABLE FOR ORDERS BEFORE 11:00 am DAILY)</t>
  </si>
  <si>
    <t>Amy's Lentil Vegetable Soup</t>
  </si>
  <si>
    <t>Amy's Vegetable Barley Soup</t>
  </si>
  <si>
    <t>Bob's Red Mill Durum Wheat Semolina Pasta Flour</t>
  </si>
  <si>
    <t>Brussels Sprouts</t>
  </si>
  <si>
    <t>Del Monte Fresh Cut Italian Beans</t>
  </si>
  <si>
    <t>Earth Balance Vegan Cheddar Squares</t>
  </si>
  <si>
    <t>Eight O'Clock 100% Colombian Peaks Medium Roast K-Cup Pods</t>
  </si>
  <si>
    <t>L'Oreal Preference Ultra Natural Blonde 10NB Hair Color Kit</t>
  </si>
  <si>
    <t>Broccoli</t>
  </si>
  <si>
    <t>Celery - Small</t>
  </si>
  <si>
    <t>Chicken Breast Boneless Skinless (From Meat Service Counter)</t>
  </si>
  <si>
    <t>Cilantro</t>
  </si>
  <si>
    <t>Dave's Killer Thin-Sliced 21 Whole Grains and Seeds Organic Bread</t>
  </si>
  <si>
    <t>Garlic</t>
  </si>
  <si>
    <t>Guerrero® Tortillas de Harina Caseras Fajita Flour Tortillas</t>
  </si>
  <si>
    <t>HemisFares Soba Air-Dried Buckwheat Noodles</t>
  </si>
  <si>
    <t>Heritage Farm Chicken Thighs Bone In &amp; Skin On (8-10 per Pack)</t>
  </si>
  <si>
    <t>Kikkoman Less Sodium Soy Sauce</t>
  </si>
  <si>
    <t>Kikkoman Soy Sauce</t>
  </si>
  <si>
    <t>Knorr Fiesta Sides Spanish Rice Dish</t>
  </si>
  <si>
    <t>Lightlife Gimme Lean Meatless Veggie Sausage</t>
  </si>
  <si>
    <t>Louisiana Hot Sauce</t>
  </si>
  <si>
    <t>Onions - White</t>
  </si>
  <si>
    <t>Pepper - Jalapeno</t>
  </si>
  <si>
    <t>Peppers - Bell - Red</t>
  </si>
  <si>
    <t>Potatoes - Russet</t>
  </si>
  <si>
    <t>Suddenly Salad Classic</t>
  </si>
  <si>
    <t>Sunbelt Bakery Oats &amp; Honey Chewy Granola Bars</t>
  </si>
  <si>
    <t>Swanson 100% Natural Vegetable Broth</t>
  </si>
  <si>
    <t>Swanson Beef Broth Fat Free Less Sodium</t>
  </si>
  <si>
    <t>Tofurky Hickory Smoked Deli Slices</t>
  </si>
  <si>
    <t>Dairy Pure Whipping Cream</t>
  </si>
  <si>
    <t>Goldfish Original Baked Snack Crackers</t>
  </si>
  <si>
    <t>Jif Creamy Peanut Butter</t>
  </si>
  <si>
    <t>Nestle Toll House White Chip Macadamia Nut Cookie Dough</t>
  </si>
  <si>
    <t>Smucker's Hot Fudge Topping</t>
  </si>
  <si>
    <t>Sunbelt Bakery Fudge Dipped Chocolate Chip Chewy Granola Bars</t>
  </si>
  <si>
    <t>Berries - Strawberries - 2 lb Package</t>
  </si>
  <si>
    <t>Degree Women Shower Clean Invisible Solid Deodorant</t>
  </si>
  <si>
    <t>Eclipse Spearmint Gum</t>
  </si>
  <si>
    <t>Febreze Extra Strength Fabric Refresher</t>
  </si>
  <si>
    <t>Green Mountain Coffee Sumatran Reserve K-Cup Pods</t>
  </si>
  <si>
    <t>Old El Paso Mild Taco Seasoning Mix</t>
  </si>
  <si>
    <t>Beef Choice Boneless Top Sirloin Steak</t>
  </si>
  <si>
    <t>Beyond Meat Beef-Free Beastly Burgers</t>
  </si>
  <si>
    <t>Carrots</t>
  </si>
  <si>
    <t>LaCroix Lime Sparkling Water</t>
  </si>
  <si>
    <t>Land O Lakes Half Stick Unsalted Butter</t>
  </si>
  <si>
    <t>Land O'Lakes Heavy Whipping Cream</t>
  </si>
  <si>
    <t>Murray's Parmigiano Reggiano (sold in 0.5 pound units)</t>
  </si>
  <si>
    <t>Orange - Navel - Large</t>
  </si>
  <si>
    <t>P$$t... Ground Nutmeg</t>
  </si>
  <si>
    <t>Peaches</t>
  </si>
  <si>
    <t>Private Selection Garam Masala Blend</t>
  </si>
  <si>
    <t>Santitas Tortilla Chips</t>
  </si>
  <si>
    <t>Sargento Artisan Blends Whole Milk Mozzarella</t>
  </si>
  <si>
    <t>Sparkling Ice Peach Nectarine Water</t>
  </si>
  <si>
    <t>Tombstone Pepperoni Pizza</t>
  </si>
  <si>
    <t>Ball Park Bun Size Franks</t>
  </si>
  <si>
    <t>Bell Pepper - Yellow</t>
  </si>
  <si>
    <t>Green Beans</t>
  </si>
  <si>
    <t>Huy Fong Sambal Oelek Chili Paste</t>
  </si>
  <si>
    <t>Land O' Frost Premium Honey Ham</t>
  </si>
  <si>
    <t>Onions - Shallot</t>
  </si>
  <si>
    <t>Ritz Crackers</t>
  </si>
  <si>
    <t>Rubbermaid TakeAlongs Shallow Bowl Food Storage Container - 3 pk</t>
  </si>
  <si>
    <t>Sabra Roasted Garlic Hummus</t>
  </si>
  <si>
    <t>Squash - Zucchini</t>
  </si>
  <si>
    <t>Bakery Fresh Crusty White French Bread</t>
  </si>
  <si>
    <t>Bakery Fresh French Bread Sliced</t>
  </si>
  <si>
    <t>Betty Crocker Hambuger Helper Four Cheese Lasagna</t>
  </si>
  <si>
    <t>Blue Bell Homemade Vanilla and Dutch Chocolate Ice Cream Cups</t>
  </si>
  <si>
    <t>Bob's Red Mill Stone Ground Garbanzo Bean Flour</t>
  </si>
  <si>
    <t>Cabbage - Green</t>
  </si>
  <si>
    <t>Claussen Kosher Dill Spears</t>
  </si>
  <si>
    <t>Farm-Raised Frozen White Shrimp 21/25 per Pound</t>
  </si>
  <si>
    <t>La Preferida Black Beans</t>
  </si>
  <si>
    <t>Lettuce - Iceberg</t>
  </si>
  <si>
    <t>McCormick Gourmet Organic Yellow Mustard Seed</t>
  </si>
  <si>
    <t>Melons - Cantaloupe</t>
  </si>
  <si>
    <t>Morton Coarse Kosher Salt</t>
  </si>
  <si>
    <t>Parsley - Italian</t>
  </si>
  <si>
    <t>Pillsbury Grands! Jr Biscuits Golden Layers Buttermilk</t>
  </si>
  <si>
    <t>Private Selection Ground Cardamon</t>
  </si>
  <si>
    <t>Simple Truth Organic Dairy-Free Mango Passion Fruit Paletas Bars</t>
  </si>
  <si>
    <t>Simple Truth Organic Tahini Pure Ground Sesame Seed</t>
  </si>
  <si>
    <t>Sparkling ICE Cherry Limeade</t>
  </si>
  <si>
    <t>Toufayan White Pita Bread 6ct</t>
  </si>
  <si>
    <t>Arm &amp; Hammer Baking Soda</t>
  </si>
  <si>
    <t>Asparagus Spears</t>
  </si>
  <si>
    <t>Aura Cacia Lemon Essential Oil</t>
  </si>
  <si>
    <t>Barilla Pasta Linguine</t>
  </si>
  <si>
    <t>Cauliflower</t>
  </si>
  <si>
    <t>Domino Dark Brown Sugar</t>
  </si>
  <si>
    <t>Earth Balance Vegan Buttery Sticks</t>
  </si>
  <si>
    <t>Glad Press'n Seal Wrap</t>
  </si>
  <si>
    <t>Lunchables Ham &amp; American Cracker Stackers</t>
  </si>
  <si>
    <t>Mahatma Brown Rice</t>
  </si>
  <si>
    <t>Onion - Sweet - Yellow</t>
  </si>
  <si>
    <t>Simple Truth Organic Whole Carrots</t>
  </si>
  <si>
    <t>Spinach</t>
  </si>
  <si>
    <t>Tofutti Better Than Sour Cream</t>
  </si>
  <si>
    <t>Meal</t>
  </si>
  <si>
    <t>Quicklink</t>
  </si>
  <si>
    <t>Cost</t>
  </si>
  <si>
    <t>Meal_1</t>
  </si>
  <si>
    <t>Meal_2</t>
  </si>
  <si>
    <t>Meal_14</t>
  </si>
  <si>
    <t>Meal_13</t>
  </si>
  <si>
    <t>Meal_12</t>
  </si>
  <si>
    <t>Meal_3</t>
  </si>
  <si>
    <t>Meal_4</t>
  </si>
  <si>
    <t>Meal_5</t>
  </si>
  <si>
    <t>Meal_6</t>
  </si>
  <si>
    <t>Meal_7</t>
  </si>
  <si>
    <t>Meal_8</t>
  </si>
  <si>
    <t>Meal_9</t>
  </si>
  <si>
    <t>Meal_10</t>
  </si>
  <si>
    <t>Meal_11</t>
  </si>
  <si>
    <t>Weekly Total Cost</t>
  </si>
  <si>
    <t>Number of Servings Made</t>
  </si>
  <si>
    <t>Name of Meal</t>
  </si>
  <si>
    <t>Apple</t>
  </si>
  <si>
    <t>Avocado</t>
  </si>
  <si>
    <t>Bell Pepper - Red</t>
  </si>
  <si>
    <t>Bell Pepper - Green</t>
  </si>
  <si>
    <t>Deli Fresh Hot Whole Roasted Chicken</t>
  </si>
  <si>
    <t>50/50 Salad Blend Mix</t>
  </si>
  <si>
    <t>Baby Spinach</t>
  </si>
  <si>
    <t>Basmati Rice</t>
  </si>
  <si>
    <t>Blackened Seasoning</t>
  </si>
  <si>
    <t>Blood Orange Sparkling Water</t>
  </si>
  <si>
    <t>Boneless Chicken Breasts with Rib Meat</t>
  </si>
  <si>
    <t>Chunk Chicken in Water</t>
  </si>
  <si>
    <t>Chunky Vegetable Soup</t>
  </si>
  <si>
    <t>Cocktail Shrimp with Sauce</t>
  </si>
  <si>
    <t>Colby Jack Cheese Bar</t>
  </si>
  <si>
    <t>Colby Jack Cheese Sticks</t>
  </si>
  <si>
    <t>Creamy Peanut Butter Gluten Free</t>
  </si>
  <si>
    <t>Crinkle Cut French Fries</t>
  </si>
  <si>
    <t>Distilled White Vinegar</t>
  </si>
  <si>
    <t>Everyday Napkins</t>
  </si>
  <si>
    <t>Fettuccine</t>
  </si>
  <si>
    <t>Finely Shredded Mexican Style Cheese</t>
  </si>
  <si>
    <t>Garbanzo Beans</t>
  </si>
  <si>
    <t>Ground Beef 73% Lean</t>
  </si>
  <si>
    <t>Ground Cinnamon</t>
  </si>
  <si>
    <t>Ground Cumin Seed</t>
  </si>
  <si>
    <t>Half &amp; Half</t>
  </si>
  <si>
    <t>Home Sense Clear Ammonia</t>
  </si>
  <si>
    <t>Home Sense Heavy Weight Paper Plate</t>
  </si>
  <si>
    <t>Home Sense Large Bowl Storage Container - 3 Pack - 6 Cup</t>
  </si>
  <si>
    <t>Home Sense Select-A-Size Double Paper Towels</t>
  </si>
  <si>
    <t>Home Sense Ultra Bowls</t>
  </si>
  <si>
    <t>Hot Dog Chili Sauce</t>
  </si>
  <si>
    <t>Jasmine Rice</t>
  </si>
  <si>
    <t>Large Eggs Grade A</t>
  </si>
  <si>
    <t>Long Grain Brown Rice</t>
  </si>
  <si>
    <t>Long Grain White Rice</t>
  </si>
  <si>
    <t>Mild Cheddar Cheese Bar</t>
  </si>
  <si>
    <t>Original Tortilla Strips</t>
  </si>
  <si>
    <t>Parsley Flakes</t>
  </si>
  <si>
    <t>Peach Sparkling Water</t>
  </si>
  <si>
    <t>Petite Diced Tomatoes</t>
  </si>
  <si>
    <t>Pinto Beans</t>
  </si>
  <si>
    <t>Red Lentils</t>
  </si>
  <si>
    <t>Small Red Beans</t>
  </si>
  <si>
    <t>Solid White Albacore Tuna in Water</t>
  </si>
  <si>
    <t>Taco Shells</t>
  </si>
  <si>
    <t>Traditional Favorites Green Peas</t>
  </si>
  <si>
    <t>Vegetable Broth</t>
  </si>
  <si>
    <t>Vegetarian Refried Beans</t>
  </si>
  <si>
    <t>Vitamin D Whole Milk</t>
  </si>
  <si>
    <t>White Grape Sparkling Water</t>
  </si>
  <si>
    <t>White Hamburger Buns</t>
  </si>
  <si>
    <t>White Hot Dog Buns</t>
  </si>
  <si>
    <t>Whole Peeled Tomatoes</t>
  </si>
  <si>
    <t>Wild Caught Chunk Light Tuna in Water</t>
  </si>
  <si>
    <t>Pure Vegetable Oil</t>
  </si>
  <si>
    <t>oz.</t>
  </si>
  <si>
    <t>Unit</t>
  </si>
  <si>
    <t>Jack Salmon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</si>
</sst>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44" fontId="0" fillId="0" borderId="0" xfId="1" applyFont="1"/>
    <xf numFmtId="2" fontId="0" fillId="0" borderId="0" xfId="0" applyNumberFormat="1"/>
    <xf numFmtId="44" fontId="0" fillId="0" borderId="0" xfId="0" applyNumberFormat="1"/>
    <xf numFmtId="0" fontId="2" fillId="0" borderId="0" xfId="2"/>
    <xf numFmtId="0" fontId="0" fillId="0" borderId="0" xfId="0" applyFont="1"/>
    <xf numFmtId="0" fontId="0" fillId="0" borderId="0" xfId="0" applyFill="1"/>
    <xf numFmtId="49" fontId="3" fillId="0" borderId="0" xfId="2" applyNumberFormat="1" applyFont="1"/>
  </cellXfs>
  <cellStyles count="3">
    <cellStyle name="Currency" xfId="1" builtinId="4"/>
    <cellStyle name="Hyperlink" xfId="2" builtinId="8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558800</xdr:colOff>
      <xdr:row>0</xdr:row>
      <xdr:rowOff>190500</xdr:rowOff>
    </xdr:from>
    <xdr:to>
      <xdr:col>9</xdr:col>
      <xdr:colOff>127000</xdr:colOff>
      <xdr:row>8</xdr:row>
      <xdr:rowOff>139700</xdr:rowOff>
    </xdr:to>
    <xdr:sp macro="ResetMeals" textlink="">
      <xdr:nvSpPr>
        <xdr:cNvPr id="2" name="Rectangle 1">
          <a:extLst>
            <a:ext uri="{FF2B5EF4-FFF2-40B4-BE49-F238E27FC236}">
              <a16:creationId xmlns:a16="http://schemas.microsoft.com/office/drawing/2014/main" id="{60C63464-81A9-7E48-80D3-0148EE90EE7C}"/>
            </a:ext>
          </a:extLst>
        </xdr:cNvPr>
        <xdr:cNvSpPr/>
      </xdr:nvSpPr>
      <xdr:spPr>
        <a:xfrm>
          <a:off x="5867400" y="190500"/>
          <a:ext cx="2044700" cy="15748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Reset Recipes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A1D22-63D3-A144-A95E-7064CD1A45E7}">
  <sheetPr codeName="Sheet1"/>
  <dimension ref="A1:F17"/>
  <sheetViews>
    <sheetView tabSelected="1" workbookViewId="0">
      <selection activeCell="H15" sqref="H15"/>
    </sheetView>
  </sheetViews>
  <sheetFormatPr baseColWidth="10" defaultRowHeight="16"/>
  <cols>
    <col min="1" max="1" width="5.33203125" bestFit="1" customWidth="1"/>
    <col min="2" max="2" width="8.5" bestFit="1" customWidth="1"/>
    <col min="3" max="3" width="13" bestFit="1" customWidth="1"/>
    <col min="4" max="4" width="14.83203125" bestFit="1" customWidth="1"/>
    <col min="5" max="5" width="22.83203125" bestFit="1" customWidth="1"/>
    <col min="6" max="6" width="8" bestFit="1" customWidth="1"/>
  </cols>
  <sheetData>
    <row r="1" spans="1:6">
      <c r="A1" t="s">
        <v>148</v>
      </c>
      <c r="B1" t="s">
        <v>149</v>
      </c>
      <c r="C1" t="s">
        <v>167</v>
      </c>
      <c r="D1" t="s">
        <v>7</v>
      </c>
      <c r="E1" t="s">
        <v>166</v>
      </c>
      <c r="F1" t="s">
        <v>150</v>
      </c>
    </row>
    <row r="2" spans="1:6">
      <c r="A2">
        <v>1</v>
      </c>
      <c r="B2" s="4" t="s">
        <v>151</v>
      </c>
      <c r="C2" s="7" t="str">
        <f>Meal_1!$B$1</f>
        <v>Jack Salmon</v>
      </c>
      <c r="D2" s="3">
        <f>Meal_1!$G$2</f>
        <v>17.682500000000001</v>
      </c>
      <c r="E2">
        <v>1</v>
      </c>
      <c r="F2" s="1">
        <f t="shared" ref="F2:F15" si="0">D2*E2</f>
        <v>17.682500000000001</v>
      </c>
    </row>
    <row r="3" spans="1:6">
      <c r="A3">
        <v>2</v>
      </c>
      <c r="B3" s="4" t="s">
        <v>152</v>
      </c>
      <c r="C3" s="7">
        <f>Meal_2!$B$1</f>
        <v>0</v>
      </c>
      <c r="D3" s="3">
        <f>Meal_2!$G$2</f>
        <v>0</v>
      </c>
      <c r="E3">
        <v>0</v>
      </c>
      <c r="F3" s="1">
        <f t="shared" si="0"/>
        <v>0</v>
      </c>
    </row>
    <row r="4" spans="1:6">
      <c r="A4">
        <v>3</v>
      </c>
      <c r="B4" s="4" t="s">
        <v>156</v>
      </c>
      <c r="C4" s="7">
        <f>Meal_3!$B$1</f>
        <v>0</v>
      </c>
      <c r="D4" s="3">
        <f>Meal_3!$G$2</f>
        <v>0</v>
      </c>
      <c r="E4">
        <v>0</v>
      </c>
      <c r="F4" s="1">
        <f t="shared" si="0"/>
        <v>0</v>
      </c>
    </row>
    <row r="5" spans="1:6">
      <c r="A5">
        <v>4</v>
      </c>
      <c r="B5" s="4" t="s">
        <v>157</v>
      </c>
      <c r="C5" s="7">
        <f>Meal_4!$B$1</f>
        <v>0</v>
      </c>
      <c r="D5" s="3">
        <f>Meal_4!$G$2</f>
        <v>0</v>
      </c>
      <c r="E5">
        <v>0</v>
      </c>
      <c r="F5" s="1">
        <f t="shared" si="0"/>
        <v>0</v>
      </c>
    </row>
    <row r="6" spans="1:6">
      <c r="A6">
        <v>5</v>
      </c>
      <c r="B6" s="4" t="s">
        <v>158</v>
      </c>
      <c r="C6" s="7">
        <f>Meal_5!$B$1</f>
        <v>0</v>
      </c>
      <c r="D6" s="3">
        <f>Meal_5!$G$2</f>
        <v>0</v>
      </c>
      <c r="E6">
        <v>0</v>
      </c>
      <c r="F6" s="1">
        <f t="shared" si="0"/>
        <v>0</v>
      </c>
    </row>
    <row r="7" spans="1:6">
      <c r="A7">
        <v>6</v>
      </c>
      <c r="B7" s="4" t="s">
        <v>159</v>
      </c>
      <c r="C7" s="7">
        <f>Meal_6!$B$1</f>
        <v>0</v>
      </c>
      <c r="D7" s="3">
        <f>Meal_6!$G$2</f>
        <v>0</v>
      </c>
      <c r="E7">
        <v>0</v>
      </c>
      <c r="F7" s="1">
        <f t="shared" si="0"/>
        <v>0</v>
      </c>
    </row>
    <row r="8" spans="1:6">
      <c r="A8">
        <v>7</v>
      </c>
      <c r="B8" s="4" t="s">
        <v>160</v>
      </c>
      <c r="C8" s="7">
        <f>Meal_7!$B$1</f>
        <v>0</v>
      </c>
      <c r="D8" s="3">
        <f>Meal_7!$G$2</f>
        <v>0</v>
      </c>
      <c r="E8">
        <v>0</v>
      </c>
      <c r="F8" s="1">
        <f t="shared" si="0"/>
        <v>0</v>
      </c>
    </row>
    <row r="9" spans="1:6">
      <c r="A9">
        <v>8</v>
      </c>
      <c r="B9" s="4" t="s">
        <v>161</v>
      </c>
      <c r="C9" s="7">
        <f>Meal_8!$B$1</f>
        <v>0</v>
      </c>
      <c r="D9" s="3">
        <f>Meal_8!$G$2</f>
        <v>0</v>
      </c>
      <c r="E9">
        <v>0</v>
      </c>
      <c r="F9" s="1">
        <f t="shared" si="0"/>
        <v>0</v>
      </c>
    </row>
    <row r="10" spans="1:6">
      <c r="A10">
        <v>9</v>
      </c>
      <c r="B10" s="4" t="s">
        <v>162</v>
      </c>
      <c r="C10" s="7">
        <f>Meal_9!$B$1</f>
        <v>0</v>
      </c>
      <c r="D10" s="3">
        <f>Meal_9!$G$2</f>
        <v>0</v>
      </c>
      <c r="E10">
        <v>0</v>
      </c>
      <c r="F10" s="1">
        <f t="shared" si="0"/>
        <v>0</v>
      </c>
    </row>
    <row r="11" spans="1:6">
      <c r="A11">
        <v>10</v>
      </c>
      <c r="B11" s="4" t="s">
        <v>163</v>
      </c>
      <c r="C11" s="7">
        <f>Meal_10!$B$1</f>
        <v>0</v>
      </c>
      <c r="D11" s="3">
        <f>Meal_10!$G$2</f>
        <v>0</v>
      </c>
      <c r="E11">
        <v>0</v>
      </c>
      <c r="F11" s="1">
        <f t="shared" si="0"/>
        <v>0</v>
      </c>
    </row>
    <row r="12" spans="1:6">
      <c r="A12">
        <v>11</v>
      </c>
      <c r="B12" s="4" t="s">
        <v>164</v>
      </c>
      <c r="C12" s="7">
        <f>Meal_11!$B$1</f>
        <v>0</v>
      </c>
      <c r="D12" s="3">
        <f>Meal_11!$G$2</f>
        <v>0</v>
      </c>
      <c r="E12">
        <v>0</v>
      </c>
      <c r="F12" s="1">
        <f t="shared" si="0"/>
        <v>0</v>
      </c>
    </row>
    <row r="13" spans="1:6">
      <c r="A13">
        <v>12</v>
      </c>
      <c r="B13" s="4" t="s">
        <v>155</v>
      </c>
      <c r="C13" s="7">
        <f>Meal_12!$B$1</f>
        <v>0</v>
      </c>
      <c r="D13" s="3">
        <f>Meal_12!$G$2</f>
        <v>0</v>
      </c>
      <c r="E13">
        <v>0</v>
      </c>
      <c r="F13" s="1">
        <f t="shared" si="0"/>
        <v>0</v>
      </c>
    </row>
    <row r="14" spans="1:6">
      <c r="A14">
        <v>13</v>
      </c>
      <c r="B14" s="4" t="s">
        <v>154</v>
      </c>
      <c r="C14" s="7">
        <f>Meal_13!$B$1</f>
        <v>0</v>
      </c>
      <c r="D14" s="3">
        <f>Meal_13!$G$2</f>
        <v>0</v>
      </c>
      <c r="E14">
        <v>0</v>
      </c>
      <c r="F14" s="1">
        <f t="shared" si="0"/>
        <v>0</v>
      </c>
    </row>
    <row r="15" spans="1:6">
      <c r="A15">
        <v>14</v>
      </c>
      <c r="B15" s="4" t="s">
        <v>153</v>
      </c>
      <c r="C15" s="7">
        <f>Meal_14!$B$1</f>
        <v>0</v>
      </c>
      <c r="D15" s="3">
        <f>Meal_14!$G$2</f>
        <v>0</v>
      </c>
      <c r="E15">
        <v>0</v>
      </c>
      <c r="F15" s="1">
        <f t="shared" si="0"/>
        <v>0</v>
      </c>
    </row>
    <row r="16" spans="1:6">
      <c r="B16" s="4"/>
      <c r="C16" s="4"/>
      <c r="D16" s="3"/>
      <c r="F16" s="1"/>
    </row>
    <row r="17" spans="5:6">
      <c r="E17" t="s">
        <v>165</v>
      </c>
      <c r="F17" s="1">
        <f>SUM(F2:F15)</f>
        <v>17.682500000000001</v>
      </c>
    </row>
  </sheetData>
  <conditionalFormatting sqref="C2:C15">
    <cfRule type="cellIs" dxfId="1" priority="1" operator="equal">
      <formula>0</formula>
    </cfRule>
  </conditionalFormatting>
  <hyperlinks>
    <hyperlink ref="B2" location="Meal_1!A1" display="Meal_1!A1" xr:uid="{712EA10F-AE36-514D-BD84-C3897E324612}"/>
    <hyperlink ref="B3" location="Meal_2!A1" display="Meal_2" xr:uid="{DB916D9E-C07C-9D4D-A5FB-1AA3938F106E}"/>
    <hyperlink ref="B4" location="Meal_3!A1" display="Meal_3!A1" xr:uid="{DCDBA27D-5456-1346-A526-018CA8C22C32}"/>
    <hyperlink ref="B5" location="Meal_4!A1" display="Meal_4!A1" xr:uid="{EB43AA32-4049-5D44-98B0-5C9263E22D92}"/>
    <hyperlink ref="B6" location="Meal_5!A1" display="Meal_5!A1" xr:uid="{E8F29CE6-2B58-164D-AE66-80EA2124AC13}"/>
    <hyperlink ref="B7" location="Meal_6!A1" display="Meal_6!A1" xr:uid="{AECAE044-A1E1-EB43-B08F-C1FA131E4FA6}"/>
    <hyperlink ref="B8" location="Meal_7!A1" display="Meal_7!A1" xr:uid="{737C3802-338F-444B-936F-1D2F51F6CF9E}"/>
    <hyperlink ref="B9" location="Meal_8!A1" display="Meal_8!A1" xr:uid="{3036CEA2-A864-0148-9848-20EC05100715}"/>
    <hyperlink ref="B10" location="Meal_9!A1" display="Meal_9!A1" xr:uid="{675217BD-9B69-ED49-9DD9-0DC72F40F17A}"/>
    <hyperlink ref="B11" location="Meal_10!A1" display="Meal_10!A1" xr:uid="{33286F53-967B-484E-8D05-7877DFB77CCB}"/>
    <hyperlink ref="B13" location="Meal_12!A1" display="Meal_12!A1" xr:uid="{47A46191-722C-4447-82FF-E699604771FE}"/>
    <hyperlink ref="B14" location="Meal_13!A1" display="Meal_13!A1" xr:uid="{543FEE86-A51F-E44F-AF89-404B178C049A}"/>
    <hyperlink ref="B15" location="Meal_14!A1" display="Meal_14!A1" xr:uid="{121B6759-3922-7B48-A532-49B1B2BB79B1}"/>
    <hyperlink ref="B12" location="Meal_11!A1" display="Meal_11!A1" xr:uid="{FBBC510C-6963-0E49-8598-0C59FCA090DD}"/>
  </hyperlink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5CB5-46A1-7344-869C-F3826B544A0B}">
  <sheetPr codeName="Sheet2"/>
  <dimension ref="A1:H558"/>
  <sheetViews>
    <sheetView topLeftCell="A40" zoomScale="142" zoomScaleNormal="100" workbookViewId="0">
      <selection activeCell="D44" sqref="D44"/>
    </sheetView>
  </sheetViews>
  <sheetFormatPr baseColWidth="10" defaultRowHeight="16"/>
  <cols>
    <col min="1" max="1" width="83.83203125" style="5" customWidth="1"/>
    <col min="2" max="2" width="8" style="1" bestFit="1" customWidth="1"/>
    <col min="7" max="7" width="2.33203125" bestFit="1" customWidth="1"/>
    <col min="8" max="8" width="6" bestFit="1" customWidth="1"/>
  </cols>
  <sheetData>
    <row r="1" spans="1:2">
      <c r="A1" s="5" t="s">
        <v>1</v>
      </c>
      <c r="B1" s="1" t="s">
        <v>3</v>
      </c>
    </row>
    <row r="2" spans="1:2">
      <c r="A2" s="6" t="s">
        <v>46</v>
      </c>
      <c r="B2" s="1">
        <v>2.39</v>
      </c>
    </row>
    <row r="3" spans="1:2">
      <c r="A3" s="6" t="s">
        <v>35</v>
      </c>
      <c r="B3" s="1">
        <v>2.89</v>
      </c>
    </row>
    <row r="4" spans="1:2">
      <c r="A4" s="6" t="s">
        <v>36</v>
      </c>
      <c r="B4" s="1">
        <v>2.89</v>
      </c>
    </row>
    <row r="5" spans="1:2">
      <c r="A5" s="6" t="s">
        <v>47</v>
      </c>
      <c r="B5" s="1">
        <v>2.39</v>
      </c>
    </row>
    <row r="6" spans="1:2">
      <c r="A6" s="6" t="s">
        <v>37</v>
      </c>
      <c r="B6" s="1">
        <v>3.79</v>
      </c>
    </row>
    <row r="7" spans="1:2">
      <c r="A7" s="6" t="s">
        <v>168</v>
      </c>
      <c r="B7" s="1">
        <v>1.99</v>
      </c>
    </row>
    <row r="8" spans="1:2">
      <c r="A8" s="6" t="s">
        <v>134</v>
      </c>
      <c r="B8" s="1">
        <v>0.79</v>
      </c>
    </row>
    <row r="9" spans="1:2">
      <c r="A9" s="6" t="s">
        <v>135</v>
      </c>
      <c r="B9" s="1">
        <v>3.99</v>
      </c>
    </row>
    <row r="10" spans="1:2">
      <c r="A10" s="6" t="s">
        <v>136</v>
      </c>
      <c r="B10" s="1">
        <v>5.49</v>
      </c>
    </row>
    <row r="11" spans="1:2">
      <c r="A11" s="6" t="s">
        <v>169</v>
      </c>
      <c r="B11" s="1">
        <v>1.25</v>
      </c>
    </row>
    <row r="12" spans="1:2">
      <c r="A12" s="6" t="s">
        <v>114</v>
      </c>
      <c r="B12" s="1">
        <v>1.99</v>
      </c>
    </row>
    <row r="13" spans="1:2">
      <c r="A13" s="6" t="s">
        <v>115</v>
      </c>
      <c r="B13" s="1">
        <v>1.99</v>
      </c>
    </row>
    <row r="14" spans="1:2">
      <c r="A14" s="6" t="s">
        <v>38</v>
      </c>
      <c r="B14" s="1">
        <v>4.99</v>
      </c>
    </row>
    <row r="15" spans="1:2">
      <c r="A15" s="6" t="s">
        <v>39</v>
      </c>
      <c r="B15" s="1">
        <v>4.29</v>
      </c>
    </row>
    <row r="16" spans="1:2">
      <c r="A16" s="6" t="s">
        <v>104</v>
      </c>
      <c r="B16" s="1">
        <v>2.99</v>
      </c>
    </row>
    <row r="17" spans="1:2">
      <c r="A17" s="6" t="s">
        <v>9</v>
      </c>
      <c r="B17" s="1">
        <v>0.49</v>
      </c>
    </row>
    <row r="18" spans="1:2">
      <c r="A18" s="6" t="s">
        <v>137</v>
      </c>
      <c r="B18" s="1">
        <v>1.49</v>
      </c>
    </row>
    <row r="19" spans="1:2">
      <c r="A19" s="5" t="s">
        <v>4</v>
      </c>
      <c r="B19" s="1">
        <v>1.5</v>
      </c>
    </row>
    <row r="20" spans="1:2">
      <c r="A20" s="6" t="s">
        <v>89</v>
      </c>
      <c r="B20" s="1">
        <v>10.99</v>
      </c>
    </row>
    <row r="21" spans="1:2">
      <c r="A21" s="5" t="s">
        <v>170</v>
      </c>
      <c r="B21" s="1">
        <v>1</v>
      </c>
    </row>
    <row r="22" spans="1:2">
      <c r="A22" s="6" t="s">
        <v>171</v>
      </c>
      <c r="B22" s="1">
        <v>0.89</v>
      </c>
    </row>
    <row r="23" spans="1:2">
      <c r="A23" s="6" t="s">
        <v>105</v>
      </c>
      <c r="B23" s="1">
        <v>1.5</v>
      </c>
    </row>
    <row r="24" spans="1:2">
      <c r="A24" s="6" t="s">
        <v>83</v>
      </c>
      <c r="B24" s="1">
        <v>5.99</v>
      </c>
    </row>
    <row r="25" spans="1:2">
      <c r="A25" s="6" t="s">
        <v>116</v>
      </c>
      <c r="B25" s="1">
        <v>1.29</v>
      </c>
    </row>
    <row r="26" spans="1:2">
      <c r="A26" s="6" t="s">
        <v>90</v>
      </c>
      <c r="B26" s="1">
        <v>4.79</v>
      </c>
    </row>
    <row r="27" spans="1:2">
      <c r="A27" s="6" t="s">
        <v>117</v>
      </c>
      <c r="B27" s="1">
        <v>6.69</v>
      </c>
    </row>
    <row r="28" spans="1:2">
      <c r="A28" s="6" t="s">
        <v>40</v>
      </c>
      <c r="B28" s="1">
        <v>6.69</v>
      </c>
    </row>
    <row r="29" spans="1:2">
      <c r="A29" s="6" t="s">
        <v>48</v>
      </c>
      <c r="B29" s="1">
        <v>4.49</v>
      </c>
    </row>
    <row r="30" spans="1:2">
      <c r="A30" s="6" t="s">
        <v>118</v>
      </c>
      <c r="B30" s="1">
        <v>2.15</v>
      </c>
    </row>
    <row r="31" spans="1:2">
      <c r="A31" s="6" t="s">
        <v>54</v>
      </c>
      <c r="B31" s="1">
        <v>1.98</v>
      </c>
    </row>
    <row r="32" spans="1:2">
      <c r="A32" s="6" t="s">
        <v>10</v>
      </c>
      <c r="B32" s="1">
        <v>1.79</v>
      </c>
    </row>
    <row r="33" spans="1:8">
      <c r="A33" s="6" t="s">
        <v>49</v>
      </c>
      <c r="B33" s="1">
        <v>2.99</v>
      </c>
    </row>
    <row r="34" spans="1:8">
      <c r="A34" s="6" t="s">
        <v>11</v>
      </c>
      <c r="B34" s="1">
        <v>2.19</v>
      </c>
    </row>
    <row r="35" spans="1:8">
      <c r="A35" s="6" t="s">
        <v>119</v>
      </c>
      <c r="B35" s="1">
        <v>0.49</v>
      </c>
    </row>
    <row r="36" spans="1:8">
      <c r="A36" s="6" t="s">
        <v>91</v>
      </c>
      <c r="B36" s="1">
        <v>0.89</v>
      </c>
    </row>
    <row r="37" spans="1:8">
      <c r="A37" s="6" t="s">
        <v>138</v>
      </c>
      <c r="B37" s="1">
        <v>2.39</v>
      </c>
    </row>
    <row r="38" spans="1:8">
      <c r="A38" s="6" t="s">
        <v>55</v>
      </c>
      <c r="B38" s="1">
        <v>1.39</v>
      </c>
    </row>
    <row r="39" spans="1:8">
      <c r="A39" s="6" t="s">
        <v>12</v>
      </c>
      <c r="B39" s="1">
        <v>2.59</v>
      </c>
    </row>
    <row r="40" spans="1:8">
      <c r="A40" s="5" t="s">
        <v>5</v>
      </c>
      <c r="B40" s="1">
        <v>2</v>
      </c>
    </row>
    <row r="41" spans="1:8">
      <c r="A41" s="6" t="s">
        <v>56</v>
      </c>
      <c r="B41" s="1">
        <v>2.99</v>
      </c>
    </row>
    <row r="42" spans="1:8">
      <c r="A42" s="6" t="s">
        <v>57</v>
      </c>
      <c r="B42" s="1">
        <v>0.69</v>
      </c>
    </row>
    <row r="43" spans="1:8">
      <c r="A43" s="6" t="s">
        <v>120</v>
      </c>
      <c r="B43" s="1">
        <v>3.79</v>
      </c>
    </row>
    <row r="44" spans="1:8">
      <c r="A44" s="6" t="s">
        <v>13</v>
      </c>
      <c r="B44" s="1">
        <v>0.59</v>
      </c>
      <c r="G44">
        <v>0</v>
      </c>
    </row>
    <row r="45" spans="1:8">
      <c r="A45" s="6" t="s">
        <v>77</v>
      </c>
      <c r="B45" s="1">
        <v>3.99</v>
      </c>
      <c r="C45">
        <v>16</v>
      </c>
      <c r="D45" t="s">
        <v>225</v>
      </c>
      <c r="G45">
        <v>0</v>
      </c>
    </row>
    <row r="46" spans="1:8">
      <c r="A46" s="6" t="s">
        <v>14</v>
      </c>
      <c r="B46" s="1">
        <v>5.99</v>
      </c>
      <c r="G46">
        <f>1</f>
        <v>1</v>
      </c>
      <c r="H46" t="e">
        <f>IF(G46=1,#REF!,0)</f>
        <v>#REF!</v>
      </c>
    </row>
    <row r="47" spans="1:8">
      <c r="A47" s="6" t="s">
        <v>58</v>
      </c>
      <c r="B47" s="1">
        <v>4.49</v>
      </c>
      <c r="G47">
        <v>0</v>
      </c>
      <c r="H47">
        <f>IF(G47=1,#REF!,0)</f>
        <v>0</v>
      </c>
    </row>
    <row r="48" spans="1:8">
      <c r="A48" s="6" t="s">
        <v>84</v>
      </c>
      <c r="B48" s="1">
        <v>2.69</v>
      </c>
      <c r="G48">
        <v>0</v>
      </c>
      <c r="H48">
        <f>IF(G48=1,#REF!,0)</f>
        <v>0</v>
      </c>
    </row>
    <row r="49" spans="1:8">
      <c r="A49" s="6" t="s">
        <v>50</v>
      </c>
      <c r="B49" s="1">
        <v>1.59</v>
      </c>
      <c r="G49">
        <v>0</v>
      </c>
      <c r="H49">
        <f>IF(G49=1,#REF!,0)</f>
        <v>0</v>
      </c>
    </row>
    <row r="50" spans="1:8">
      <c r="A50" s="6" t="s">
        <v>15</v>
      </c>
      <c r="B50" s="1">
        <v>3.29</v>
      </c>
      <c r="G50">
        <v>0</v>
      </c>
      <c r="H50">
        <f>IF(G50=1,#REF!,0)</f>
        <v>0</v>
      </c>
    </row>
    <row r="51" spans="1:8">
      <c r="A51" s="6" t="s">
        <v>172</v>
      </c>
      <c r="B51" s="1">
        <v>6.99</v>
      </c>
      <c r="G51">
        <v>0</v>
      </c>
      <c r="H51">
        <f>IF(G51=1,#REF!,0)</f>
        <v>0</v>
      </c>
    </row>
    <row r="52" spans="1:8">
      <c r="A52" s="6" t="s">
        <v>139</v>
      </c>
      <c r="B52" s="1">
        <v>1.39</v>
      </c>
      <c r="G52">
        <v>0</v>
      </c>
      <c r="H52">
        <f>IF(G52=1,#REF!,0)</f>
        <v>0</v>
      </c>
    </row>
    <row r="53" spans="1:8">
      <c r="A53" s="6" t="s">
        <v>140</v>
      </c>
      <c r="B53" s="1">
        <v>4.1900000000000004</v>
      </c>
      <c r="G53">
        <v>0</v>
      </c>
      <c r="H53">
        <f>IF(G53=1,#REF!,0)</f>
        <v>0</v>
      </c>
    </row>
    <row r="54" spans="1:8">
      <c r="A54" s="6" t="s">
        <v>51</v>
      </c>
      <c r="B54" s="1">
        <v>3.59</v>
      </c>
      <c r="G54">
        <v>1</v>
      </c>
      <c r="H54" t="e">
        <f>IF(G54=1,#REF!,0)</f>
        <v>#REF!</v>
      </c>
    </row>
    <row r="55" spans="1:8">
      <c r="A55" s="6" t="s">
        <v>85</v>
      </c>
      <c r="B55" s="1">
        <v>3.39</v>
      </c>
      <c r="G55">
        <v>0</v>
      </c>
      <c r="H55">
        <f>IF(G55=1,#REF!,0)</f>
        <v>0</v>
      </c>
    </row>
    <row r="56" spans="1:8">
      <c r="A56" s="6" t="s">
        <v>52</v>
      </c>
      <c r="B56" s="1">
        <v>5.99</v>
      </c>
      <c r="G56">
        <v>0</v>
      </c>
      <c r="H56">
        <f>IF(G56=1,#REF!,0)</f>
        <v>0</v>
      </c>
    </row>
    <row r="57" spans="1:8">
      <c r="A57" s="6" t="s">
        <v>121</v>
      </c>
      <c r="B57" s="1">
        <v>7.99</v>
      </c>
      <c r="G57">
        <v>0</v>
      </c>
      <c r="H57">
        <f>IF(G57=1,#REF!,0)</f>
        <v>0</v>
      </c>
    </row>
    <row r="58" spans="1:8">
      <c r="A58" s="6" t="s">
        <v>86</v>
      </c>
      <c r="B58" s="1">
        <v>3.49</v>
      </c>
      <c r="G58">
        <v>0</v>
      </c>
      <c r="H58">
        <f>IF(G58=1,#REF!,0)</f>
        <v>0</v>
      </c>
    </row>
    <row r="59" spans="1:8">
      <c r="A59" s="6" t="s">
        <v>16</v>
      </c>
      <c r="B59" s="1">
        <v>3.49</v>
      </c>
      <c r="G59">
        <v>0</v>
      </c>
      <c r="H59">
        <f>IF(G59=1,#REF!,0)</f>
        <v>0</v>
      </c>
    </row>
    <row r="60" spans="1:8">
      <c r="A60" s="6" t="s">
        <v>59</v>
      </c>
      <c r="B60" s="1">
        <v>0.5</v>
      </c>
      <c r="G60">
        <v>0</v>
      </c>
      <c r="H60">
        <f>IF(G60=1,#REF!,0)</f>
        <v>0</v>
      </c>
    </row>
    <row r="61" spans="1:8">
      <c r="A61" s="6" t="s">
        <v>141</v>
      </c>
      <c r="B61" s="1">
        <v>3.59</v>
      </c>
      <c r="G61">
        <v>0</v>
      </c>
      <c r="H61">
        <f>IF(G61=1,#REF!,0)</f>
        <v>0</v>
      </c>
    </row>
    <row r="62" spans="1:8">
      <c r="A62" s="6" t="s">
        <v>78</v>
      </c>
      <c r="B62" s="1">
        <v>1.99</v>
      </c>
      <c r="G62">
        <v>1</v>
      </c>
      <c r="H62" t="e">
        <f>IF(G62=1,#REF!,0)</f>
        <v>#REF!</v>
      </c>
    </row>
    <row r="63" spans="1:8">
      <c r="A63" s="6" t="s">
        <v>41</v>
      </c>
      <c r="B63" s="1">
        <v>1.99</v>
      </c>
      <c r="G63">
        <v>0</v>
      </c>
      <c r="H63">
        <f>IF(G63=1,#REF!,0)</f>
        <v>0</v>
      </c>
    </row>
    <row r="64" spans="1:8">
      <c r="A64" s="6" t="s">
        <v>106</v>
      </c>
      <c r="B64" s="1">
        <v>0.99</v>
      </c>
      <c r="G64">
        <v>0</v>
      </c>
      <c r="H64">
        <f>IF(G64=1,#REF!,0)</f>
        <v>0</v>
      </c>
    </row>
    <row r="65" spans="1:8">
      <c r="A65" s="6" t="s">
        <v>87</v>
      </c>
      <c r="B65" s="1">
        <v>7.49</v>
      </c>
      <c r="G65">
        <v>0</v>
      </c>
      <c r="H65">
        <f>IF(G65=1,#REF!,0)</f>
        <v>0</v>
      </c>
    </row>
    <row r="66" spans="1:8">
      <c r="A66" s="6" t="s">
        <v>60</v>
      </c>
      <c r="B66" s="1">
        <v>2.79</v>
      </c>
      <c r="G66">
        <v>0</v>
      </c>
      <c r="H66">
        <f>IF(G66=1,#REF!,0)</f>
        <v>0</v>
      </c>
    </row>
    <row r="67" spans="1:8">
      <c r="A67" s="6" t="s">
        <v>61</v>
      </c>
      <c r="B67" s="1">
        <v>2.99</v>
      </c>
      <c r="G67">
        <v>0</v>
      </c>
      <c r="H67">
        <f>IF(G67=1,#REF!,0)</f>
        <v>0</v>
      </c>
    </row>
    <row r="68" spans="1:8">
      <c r="A68" s="6" t="s">
        <v>62</v>
      </c>
      <c r="B68" s="1">
        <v>1.59</v>
      </c>
      <c r="G68">
        <v>0</v>
      </c>
      <c r="H68">
        <f>IF(G68=1,#REF!,0)</f>
        <v>0</v>
      </c>
    </row>
    <row r="69" spans="1:8">
      <c r="A69" s="6" t="s">
        <v>17</v>
      </c>
      <c r="B69" s="1">
        <v>1.69</v>
      </c>
      <c r="G69">
        <v>0</v>
      </c>
      <c r="H69">
        <f>IF(G69=1,#REF!,0)</f>
        <v>0</v>
      </c>
    </row>
    <row r="70" spans="1:8">
      <c r="A70" s="6" t="s">
        <v>107</v>
      </c>
      <c r="B70" s="1">
        <v>1.89</v>
      </c>
      <c r="G70">
        <v>1</v>
      </c>
      <c r="H70" t="e">
        <f>IF(G70=1,#REF!,0)</f>
        <v>#REF!</v>
      </c>
    </row>
    <row r="71" spans="1:8">
      <c r="A71" s="6" t="s">
        <v>79</v>
      </c>
      <c r="B71" s="1">
        <v>2.79</v>
      </c>
      <c r="G71">
        <v>0</v>
      </c>
      <c r="H71">
        <f>IF(G71=1,#REF!,0)</f>
        <v>0</v>
      </c>
    </row>
    <row r="72" spans="1:8">
      <c r="A72" s="6" t="s">
        <v>63</v>
      </c>
      <c r="B72" s="1">
        <v>2.29</v>
      </c>
      <c r="G72">
        <v>0</v>
      </c>
      <c r="H72">
        <f>IF(G72=1,#REF!,0)</f>
        <v>0</v>
      </c>
    </row>
    <row r="73" spans="1:8">
      <c r="A73" s="6" t="s">
        <v>64</v>
      </c>
      <c r="B73" s="1">
        <v>2.29</v>
      </c>
      <c r="G73">
        <v>0</v>
      </c>
      <c r="H73">
        <f>IF(G73=1,#REF!,0)</f>
        <v>0</v>
      </c>
    </row>
    <row r="74" spans="1:8">
      <c r="A74" s="6" t="s">
        <v>65</v>
      </c>
      <c r="B74" s="1">
        <v>1</v>
      </c>
      <c r="G74">
        <v>0</v>
      </c>
      <c r="H74">
        <f>IF(G74=1,#REF!,0)</f>
        <v>0</v>
      </c>
    </row>
    <row r="75" spans="1:8">
      <c r="A75" s="6" t="s">
        <v>173</v>
      </c>
      <c r="B75" s="1">
        <v>3.49</v>
      </c>
      <c r="G75">
        <v>0</v>
      </c>
      <c r="H75">
        <f>IF(G75=1,#REF!,0)</f>
        <v>0</v>
      </c>
    </row>
    <row r="76" spans="1:8">
      <c r="A76" s="6" t="s">
        <v>174</v>
      </c>
      <c r="B76" s="1">
        <v>3.49</v>
      </c>
      <c r="G76">
        <v>0</v>
      </c>
      <c r="H76">
        <f>IF(G76=1,#REF!,0)</f>
        <v>0</v>
      </c>
    </row>
    <row r="77" spans="1:8">
      <c r="A77" s="6" t="s">
        <v>175</v>
      </c>
      <c r="B77" s="1">
        <v>4.29</v>
      </c>
      <c r="G77">
        <v>0</v>
      </c>
      <c r="H77">
        <f>IF(G77=1,#REF!,0)</f>
        <v>0</v>
      </c>
    </row>
    <row r="78" spans="1:8">
      <c r="A78" s="6" t="s">
        <v>176</v>
      </c>
      <c r="B78" s="1">
        <v>2.4900000000000002</v>
      </c>
      <c r="G78">
        <v>1</v>
      </c>
      <c r="H78" t="e">
        <f>IF(G78=1,#REF!,0)</f>
        <v>#REF!</v>
      </c>
    </row>
    <row r="79" spans="1:8">
      <c r="A79" s="6" t="s">
        <v>177</v>
      </c>
      <c r="B79" s="1">
        <v>0.59</v>
      </c>
      <c r="G79">
        <v>0</v>
      </c>
      <c r="H79">
        <f>IF(G79=1,#REF!,0)</f>
        <v>0</v>
      </c>
    </row>
    <row r="80" spans="1:8">
      <c r="A80" s="6" t="s">
        <v>178</v>
      </c>
      <c r="B80" s="1">
        <v>8.99</v>
      </c>
      <c r="G80">
        <v>0</v>
      </c>
      <c r="H80">
        <f>IF(G80=1,#REF!,0)</f>
        <v>0</v>
      </c>
    </row>
    <row r="81" spans="1:8">
      <c r="A81" s="6" t="s">
        <v>179</v>
      </c>
      <c r="B81" s="1">
        <v>1.19</v>
      </c>
      <c r="G81">
        <v>0</v>
      </c>
      <c r="H81">
        <f>IF(G81=1,#REF!,0)</f>
        <v>0</v>
      </c>
    </row>
    <row r="82" spans="1:8">
      <c r="A82" s="6" t="s">
        <v>180</v>
      </c>
      <c r="B82" s="1">
        <v>1.67</v>
      </c>
      <c r="G82">
        <v>0</v>
      </c>
      <c r="H82">
        <f>IF(G82=1,#REF!,0)</f>
        <v>0</v>
      </c>
    </row>
    <row r="83" spans="1:8">
      <c r="A83" s="6" t="s">
        <v>181</v>
      </c>
      <c r="B83" s="1">
        <v>8.99</v>
      </c>
      <c r="G83">
        <v>0</v>
      </c>
      <c r="H83">
        <f>IF(G83=1,#REF!,0)</f>
        <v>0</v>
      </c>
    </row>
    <row r="84" spans="1:8">
      <c r="A84" s="6" t="s">
        <v>182</v>
      </c>
      <c r="B84" s="1">
        <v>2.19</v>
      </c>
      <c r="G84">
        <v>0</v>
      </c>
      <c r="H84">
        <f>IF(G84=1,#REF!,0)</f>
        <v>0</v>
      </c>
    </row>
    <row r="85" spans="1:8">
      <c r="A85" s="6" t="s">
        <v>183</v>
      </c>
      <c r="B85" s="1">
        <v>3.29</v>
      </c>
      <c r="G85">
        <v>0</v>
      </c>
      <c r="H85">
        <f>IF(G85=1,#REF!,0)</f>
        <v>0</v>
      </c>
    </row>
    <row r="86" spans="1:8">
      <c r="A86" s="6" t="s">
        <v>184</v>
      </c>
      <c r="B86" s="1">
        <v>2.39</v>
      </c>
      <c r="G86">
        <v>1</v>
      </c>
      <c r="H86" t="e">
        <f>IF(G86=1,#REF!,0)</f>
        <v>#REF!</v>
      </c>
    </row>
    <row r="87" spans="1:8">
      <c r="A87" s="6" t="s">
        <v>185</v>
      </c>
      <c r="B87" s="1">
        <v>1.69</v>
      </c>
      <c r="G87">
        <v>0</v>
      </c>
      <c r="H87">
        <f>IF(G87=1,#REF!,0)</f>
        <v>0</v>
      </c>
    </row>
    <row r="88" spans="1:8">
      <c r="A88" s="6" t="s">
        <v>186</v>
      </c>
      <c r="B88" s="1">
        <v>2.4900000000000002</v>
      </c>
      <c r="G88">
        <v>0</v>
      </c>
      <c r="H88">
        <f>IF(G88=1,#REF!,0)</f>
        <v>0</v>
      </c>
    </row>
    <row r="89" spans="1:8">
      <c r="A89" s="6" t="s">
        <v>187</v>
      </c>
      <c r="B89" s="1">
        <v>1.49</v>
      </c>
      <c r="G89">
        <v>0</v>
      </c>
      <c r="H89">
        <f>IF(G89=1,#REF!,0)</f>
        <v>0</v>
      </c>
    </row>
    <row r="90" spans="1:8">
      <c r="A90" s="6" t="s">
        <v>188</v>
      </c>
      <c r="B90" s="1">
        <v>1</v>
      </c>
      <c r="G90">
        <v>0</v>
      </c>
      <c r="H90">
        <f>IF(G90=1,#REF!,0)</f>
        <v>0</v>
      </c>
    </row>
    <row r="91" spans="1:8">
      <c r="A91" s="6" t="s">
        <v>189</v>
      </c>
      <c r="B91" s="1">
        <v>2.19</v>
      </c>
      <c r="G91">
        <v>0</v>
      </c>
      <c r="H91">
        <f>IF(G91=1,#REF!,0)</f>
        <v>0</v>
      </c>
    </row>
    <row r="92" spans="1:8">
      <c r="A92" s="6" t="s">
        <v>190</v>
      </c>
      <c r="B92" s="1">
        <v>1.69</v>
      </c>
      <c r="G92">
        <v>0</v>
      </c>
      <c r="H92">
        <f>IF(G92=1,#REF!,0)</f>
        <v>0</v>
      </c>
    </row>
    <row r="93" spans="1:8">
      <c r="A93" s="6" t="s">
        <v>191</v>
      </c>
      <c r="B93" s="1">
        <v>3.59</v>
      </c>
      <c r="G93">
        <v>0</v>
      </c>
      <c r="H93">
        <f>IF(G93=1,#REF!,0)</f>
        <v>0</v>
      </c>
    </row>
    <row r="94" spans="1:8">
      <c r="A94" s="6" t="s">
        <v>192</v>
      </c>
      <c r="B94" s="1">
        <v>2.69</v>
      </c>
      <c r="G94">
        <v>1</v>
      </c>
      <c r="H94" t="e">
        <f>IF(G94=1,#REF!,0)</f>
        <v>#REF!</v>
      </c>
    </row>
    <row r="95" spans="1:8">
      <c r="A95" s="6" t="s">
        <v>193</v>
      </c>
      <c r="B95" s="1">
        <v>4.1900000000000004</v>
      </c>
      <c r="G95">
        <v>0</v>
      </c>
      <c r="H95">
        <f>IF(G95=1,#REF!,0)</f>
        <v>0</v>
      </c>
    </row>
    <row r="96" spans="1:8">
      <c r="A96" s="6" t="s">
        <v>194</v>
      </c>
      <c r="B96" s="1">
        <v>1.49</v>
      </c>
      <c r="G96">
        <v>0</v>
      </c>
      <c r="H96">
        <f>IF(G96=1,#REF!,0)</f>
        <v>0</v>
      </c>
    </row>
    <row r="97" spans="1:8">
      <c r="A97" s="6" t="s">
        <v>195</v>
      </c>
      <c r="B97" s="1">
        <v>1.49</v>
      </c>
      <c r="G97">
        <v>0</v>
      </c>
      <c r="H97">
        <f>IF(G97=1,#REF!,0)</f>
        <v>0</v>
      </c>
    </row>
    <row r="98" spans="1:8">
      <c r="A98" s="6" t="s">
        <v>196</v>
      </c>
      <c r="B98" s="1">
        <v>2</v>
      </c>
      <c r="G98">
        <v>0</v>
      </c>
      <c r="H98">
        <f>IF(G98=1,#REF!,0)</f>
        <v>0</v>
      </c>
    </row>
    <row r="99" spans="1:8">
      <c r="A99" s="6" t="s">
        <v>197</v>
      </c>
      <c r="B99" s="1">
        <v>1.99</v>
      </c>
      <c r="G99">
        <v>0</v>
      </c>
      <c r="H99">
        <f>IF(G99=1,#REF!,0)</f>
        <v>0</v>
      </c>
    </row>
    <row r="100" spans="1:8">
      <c r="A100" s="6" t="s">
        <v>198</v>
      </c>
      <c r="B100" s="1">
        <v>9.99</v>
      </c>
      <c r="G100">
        <v>0</v>
      </c>
      <c r="H100">
        <f>IF(G100=1,#REF!,0)</f>
        <v>0</v>
      </c>
    </row>
    <row r="101" spans="1:8">
      <c r="A101" s="6" t="s">
        <v>199</v>
      </c>
      <c r="B101" s="1">
        <v>2.29</v>
      </c>
      <c r="G101">
        <v>0</v>
      </c>
      <c r="H101">
        <f>IF(G101=1,#REF!,0)</f>
        <v>0</v>
      </c>
    </row>
    <row r="102" spans="1:8">
      <c r="A102" s="6" t="s">
        <v>200</v>
      </c>
      <c r="B102" s="1">
        <v>0.59</v>
      </c>
      <c r="G102">
        <v>1</v>
      </c>
      <c r="H102" t="e">
        <f>IF(G102=1,#REF!,0)</f>
        <v>#REF!</v>
      </c>
    </row>
    <row r="103" spans="1:8">
      <c r="A103" s="6" t="s">
        <v>201</v>
      </c>
      <c r="B103" s="1">
        <v>2.89</v>
      </c>
      <c r="G103">
        <v>0</v>
      </c>
      <c r="H103">
        <f>IF(G103=1,#REF!,0)</f>
        <v>0</v>
      </c>
    </row>
    <row r="104" spans="1:8">
      <c r="A104" s="6" t="s">
        <v>202</v>
      </c>
      <c r="B104" s="1">
        <v>0.79</v>
      </c>
      <c r="G104">
        <v>0</v>
      </c>
      <c r="H104">
        <f>IF(G104=1,#REF!,0)</f>
        <v>0</v>
      </c>
    </row>
    <row r="105" spans="1:8">
      <c r="A105" s="6" t="s">
        <v>203</v>
      </c>
      <c r="B105" s="1">
        <v>0.89</v>
      </c>
      <c r="G105">
        <v>0</v>
      </c>
      <c r="H105">
        <f>IF(G105=1,#REF!,0)</f>
        <v>0</v>
      </c>
    </row>
    <row r="106" spans="1:8">
      <c r="A106" s="6" t="s">
        <v>204</v>
      </c>
      <c r="B106" s="1">
        <v>1.39</v>
      </c>
      <c r="G106">
        <v>0</v>
      </c>
      <c r="H106">
        <f>IF(G106=1,#REF!,0)</f>
        <v>0</v>
      </c>
    </row>
    <row r="107" spans="1:8">
      <c r="A107" s="6" t="s">
        <v>205</v>
      </c>
      <c r="B107" s="1">
        <v>2.19</v>
      </c>
      <c r="G107">
        <v>0</v>
      </c>
      <c r="H107">
        <f>IF(G107=1,#REF!,0)</f>
        <v>0</v>
      </c>
    </row>
    <row r="108" spans="1:8">
      <c r="A108" s="6" t="s">
        <v>206</v>
      </c>
      <c r="B108" s="1">
        <v>1.79</v>
      </c>
      <c r="G108">
        <v>0</v>
      </c>
      <c r="H108">
        <f>IF(G108=1,#REF!,0)</f>
        <v>0</v>
      </c>
    </row>
    <row r="109" spans="1:8">
      <c r="A109" s="6" t="s">
        <v>207</v>
      </c>
      <c r="B109" s="1">
        <v>1.89</v>
      </c>
      <c r="G109">
        <v>0</v>
      </c>
      <c r="H109">
        <f>IF(G109=1,#REF!,0)</f>
        <v>0</v>
      </c>
    </row>
    <row r="110" spans="1:8">
      <c r="A110" s="6" t="s">
        <v>208</v>
      </c>
      <c r="B110" s="1">
        <v>0.59</v>
      </c>
      <c r="G110">
        <v>1</v>
      </c>
      <c r="H110" t="e">
        <f>IF(G110=1,#REF!,0)</f>
        <v>#REF!</v>
      </c>
    </row>
    <row r="111" spans="1:8">
      <c r="A111" s="6" t="s">
        <v>209</v>
      </c>
      <c r="B111" s="1">
        <v>0.49</v>
      </c>
      <c r="G111">
        <v>0</v>
      </c>
      <c r="H111">
        <f>IF(G111=1,#REF!,0)</f>
        <v>0</v>
      </c>
    </row>
    <row r="112" spans="1:8">
      <c r="A112" s="6" t="s">
        <v>210</v>
      </c>
      <c r="B112" s="1">
        <v>0.59</v>
      </c>
      <c r="G112">
        <v>0</v>
      </c>
      <c r="H112">
        <f>IF(G112=1,#REF!,0)</f>
        <v>0</v>
      </c>
    </row>
    <row r="113" spans="1:8">
      <c r="A113" s="6" t="s">
        <v>211</v>
      </c>
      <c r="B113" s="1">
        <v>2.19</v>
      </c>
      <c r="G113">
        <v>0</v>
      </c>
      <c r="H113">
        <f>IF(G113=1,#REF!,0)</f>
        <v>0</v>
      </c>
    </row>
    <row r="114" spans="1:8">
      <c r="A114" s="6" t="s">
        <v>212</v>
      </c>
      <c r="B114" s="1">
        <v>1.29</v>
      </c>
      <c r="G114">
        <v>0</v>
      </c>
      <c r="H114">
        <f>IF(G114=1,#REF!,0)</f>
        <v>0</v>
      </c>
    </row>
    <row r="115" spans="1:8">
      <c r="A115" s="6" t="s">
        <v>213</v>
      </c>
      <c r="B115" s="1">
        <v>1.29</v>
      </c>
      <c r="G115">
        <v>0</v>
      </c>
      <c r="H115">
        <f>IF(G115=1,#REF!,0)</f>
        <v>0</v>
      </c>
    </row>
    <row r="116" spans="1:8">
      <c r="A116" s="6" t="s">
        <v>214</v>
      </c>
      <c r="B116" s="1">
        <v>1</v>
      </c>
      <c r="G116">
        <v>0</v>
      </c>
      <c r="H116">
        <f>IF(G116=1,#REF!,0)</f>
        <v>0</v>
      </c>
    </row>
    <row r="117" spans="1:8">
      <c r="A117" s="6" t="s">
        <v>215</v>
      </c>
      <c r="B117" s="1">
        <v>1</v>
      </c>
      <c r="G117">
        <v>0</v>
      </c>
      <c r="H117">
        <f>IF(G117=1,#REF!,0)</f>
        <v>0</v>
      </c>
    </row>
    <row r="118" spans="1:8">
      <c r="A118" s="6" t="s">
        <v>216</v>
      </c>
      <c r="B118" s="1">
        <v>1.29</v>
      </c>
      <c r="G118">
        <v>1</v>
      </c>
      <c r="H118" t="e">
        <f>IF(G118=1,#REF!,0)</f>
        <v>#REF!</v>
      </c>
    </row>
    <row r="119" spans="1:8">
      <c r="A119" s="6" t="s">
        <v>217</v>
      </c>
      <c r="B119" s="1">
        <v>0.79</v>
      </c>
      <c r="G119">
        <v>0</v>
      </c>
      <c r="H119">
        <f>IF(G119=1,#REF!,0)</f>
        <v>0</v>
      </c>
    </row>
    <row r="120" spans="1:8">
      <c r="A120" s="6" t="s">
        <v>218</v>
      </c>
      <c r="B120" s="1">
        <v>0.79</v>
      </c>
      <c r="G120">
        <v>0</v>
      </c>
      <c r="H120">
        <f>IF(G120=1,#REF!,0)</f>
        <v>0</v>
      </c>
    </row>
    <row r="121" spans="1:8">
      <c r="A121" s="6" t="s">
        <v>219</v>
      </c>
      <c r="B121" s="1">
        <v>0.59</v>
      </c>
      <c r="G121">
        <v>0</v>
      </c>
      <c r="H121">
        <f>IF(G121=1,#REF!,0)</f>
        <v>0</v>
      </c>
    </row>
    <row r="122" spans="1:8">
      <c r="A122" s="6" t="s">
        <v>220</v>
      </c>
      <c r="B122" s="1">
        <v>1.19</v>
      </c>
      <c r="G122">
        <v>0</v>
      </c>
      <c r="H122">
        <f>IF(G122=1,#REF!,0)</f>
        <v>0</v>
      </c>
    </row>
    <row r="123" spans="1:8">
      <c r="A123" s="6" t="s">
        <v>221</v>
      </c>
      <c r="B123" s="1">
        <v>1.19</v>
      </c>
      <c r="G123">
        <v>0</v>
      </c>
      <c r="H123">
        <f>IF(G123=1,#REF!,0)</f>
        <v>0</v>
      </c>
    </row>
    <row r="124" spans="1:8">
      <c r="A124" s="6" t="s">
        <v>222</v>
      </c>
      <c r="B124" s="1">
        <v>0.89</v>
      </c>
      <c r="G124">
        <v>0</v>
      </c>
      <c r="H124">
        <f>IF(G124=1,#REF!,0)</f>
        <v>0</v>
      </c>
    </row>
    <row r="125" spans="1:8">
      <c r="A125" s="6" t="s">
        <v>223</v>
      </c>
      <c r="B125" s="1">
        <v>0.79</v>
      </c>
      <c r="G125">
        <v>0</v>
      </c>
      <c r="H125">
        <f>IF(G125=1,#REF!,0)</f>
        <v>0</v>
      </c>
    </row>
    <row r="126" spans="1:8">
      <c r="A126" s="6" t="s">
        <v>224</v>
      </c>
      <c r="B126" s="1">
        <v>4.99</v>
      </c>
      <c r="G126">
        <v>1</v>
      </c>
      <c r="H126" t="e">
        <f>IF(G126=1,#REF!,0)</f>
        <v>#REF!</v>
      </c>
    </row>
    <row r="127" spans="1:8">
      <c r="A127" s="6" t="s">
        <v>53</v>
      </c>
      <c r="B127" s="1">
        <v>9.7899999999999991</v>
      </c>
      <c r="G127">
        <v>0</v>
      </c>
      <c r="H127">
        <f>IF(G127=1,#REF!,0)</f>
        <v>0</v>
      </c>
    </row>
    <row r="128" spans="1:8">
      <c r="A128" s="6" t="s">
        <v>122</v>
      </c>
      <c r="B128" s="1">
        <v>1.29</v>
      </c>
      <c r="G128">
        <v>0</v>
      </c>
      <c r="H128">
        <f>IF(G128=1,#REF!,0)</f>
        <v>0</v>
      </c>
    </row>
    <row r="129" spans="1:8">
      <c r="A129" s="6" t="s">
        <v>92</v>
      </c>
      <c r="B129" s="1">
        <v>3.99</v>
      </c>
      <c r="G129">
        <v>0</v>
      </c>
      <c r="H129">
        <f>IF(G129=1,#REF!,0)</f>
        <v>0</v>
      </c>
    </row>
    <row r="130" spans="1:8">
      <c r="A130" s="6" t="s">
        <v>93</v>
      </c>
      <c r="B130" s="1">
        <v>4.79</v>
      </c>
      <c r="G130">
        <v>0</v>
      </c>
      <c r="H130">
        <f>IF(G130=1,#REF!,0)</f>
        <v>0</v>
      </c>
    </row>
    <row r="131" spans="1:8">
      <c r="A131" s="6" t="s">
        <v>108</v>
      </c>
      <c r="B131" s="1">
        <v>4.29</v>
      </c>
      <c r="G131">
        <v>0</v>
      </c>
      <c r="H131">
        <f>IF(G131=1,#REF!,0)</f>
        <v>0</v>
      </c>
    </row>
    <row r="132" spans="1:8">
      <c r="A132" s="6" t="s">
        <v>94</v>
      </c>
      <c r="B132" s="1">
        <v>1.99</v>
      </c>
      <c r="G132">
        <v>0</v>
      </c>
      <c r="H132">
        <f>IF(G132=1,#REF!,0)</f>
        <v>0</v>
      </c>
    </row>
    <row r="133" spans="1:8">
      <c r="A133" s="6" t="s">
        <v>18</v>
      </c>
      <c r="B133" s="1">
        <v>0.69</v>
      </c>
      <c r="G133">
        <v>0</v>
      </c>
      <c r="H133">
        <f>IF(G133=1,#REF!,0)</f>
        <v>0</v>
      </c>
    </row>
    <row r="134" spans="1:8">
      <c r="A134" s="6" t="s">
        <v>123</v>
      </c>
      <c r="B134" s="1">
        <v>0.99</v>
      </c>
      <c r="G134">
        <v>1</v>
      </c>
      <c r="H134" t="e">
        <f>IF(G134=1,#REF!,0)</f>
        <v>#REF!</v>
      </c>
    </row>
    <row r="135" spans="1:8">
      <c r="A135" s="6" t="s">
        <v>19</v>
      </c>
      <c r="B135" s="1">
        <v>11.99</v>
      </c>
      <c r="G135">
        <v>0</v>
      </c>
      <c r="H135">
        <f>IF(G135=1,#REF!,0)</f>
        <v>0</v>
      </c>
    </row>
    <row r="136" spans="1:8">
      <c r="A136" s="6" t="s">
        <v>66</v>
      </c>
      <c r="B136" s="1">
        <v>3.99</v>
      </c>
      <c r="G136">
        <v>0</v>
      </c>
      <c r="H136">
        <f>IF(G136=1,#REF!,0)</f>
        <v>0</v>
      </c>
    </row>
    <row r="137" spans="1:8">
      <c r="A137" s="6" t="s">
        <v>20</v>
      </c>
      <c r="B137" s="1">
        <v>0.79</v>
      </c>
      <c r="G137">
        <v>0</v>
      </c>
      <c r="H137">
        <f>IF(G137=1,#REF!,0)</f>
        <v>0</v>
      </c>
    </row>
    <row r="138" spans="1:8">
      <c r="A138" s="6" t="s">
        <v>67</v>
      </c>
      <c r="B138" s="1">
        <v>0.99</v>
      </c>
      <c r="G138">
        <v>0</v>
      </c>
      <c r="H138">
        <f>IF(G138=1,#REF!,0)</f>
        <v>0</v>
      </c>
    </row>
    <row r="139" spans="1:8">
      <c r="A139" s="6" t="s">
        <v>142</v>
      </c>
      <c r="B139" s="1">
        <v>2.99</v>
      </c>
      <c r="G139">
        <v>0</v>
      </c>
      <c r="H139">
        <f>IF(G139=1,#REF!,0)</f>
        <v>0</v>
      </c>
    </row>
    <row r="140" spans="1:8">
      <c r="A140" s="6" t="s">
        <v>143</v>
      </c>
      <c r="B140" s="1">
        <v>2.4900000000000002</v>
      </c>
      <c r="G140">
        <v>0</v>
      </c>
      <c r="H140">
        <f>IF(G140=1,#REF!,0)</f>
        <v>0</v>
      </c>
    </row>
    <row r="141" spans="1:8">
      <c r="A141" s="6" t="s">
        <v>124</v>
      </c>
      <c r="B141" s="1">
        <v>4.49</v>
      </c>
      <c r="G141">
        <v>0</v>
      </c>
      <c r="H141">
        <f>IF(G141=1,#REF!,0)</f>
        <v>0</v>
      </c>
    </row>
    <row r="142" spans="1:8">
      <c r="A142" s="6" t="s">
        <v>125</v>
      </c>
      <c r="B142" s="1">
        <v>2.29</v>
      </c>
      <c r="G142">
        <v>1</v>
      </c>
      <c r="H142" t="e">
        <f>IF(G142=1,#REF!,0)</f>
        <v>#REF!</v>
      </c>
    </row>
    <row r="143" spans="1:8">
      <c r="A143" s="6" t="s">
        <v>126</v>
      </c>
      <c r="B143" s="1">
        <v>2.99</v>
      </c>
      <c r="G143">
        <v>0</v>
      </c>
      <c r="H143">
        <f>IF(G143=1,#REF!,0)</f>
        <v>0</v>
      </c>
    </row>
    <row r="144" spans="1:8">
      <c r="A144" s="6" t="s">
        <v>21</v>
      </c>
      <c r="B144" s="1">
        <v>2.99</v>
      </c>
      <c r="G144">
        <v>0</v>
      </c>
      <c r="H144">
        <f>IF(G144=1,#REF!,0)</f>
        <v>0</v>
      </c>
    </row>
    <row r="145" spans="1:8">
      <c r="A145" s="6" t="s">
        <v>95</v>
      </c>
      <c r="B145" s="1">
        <v>17.98</v>
      </c>
      <c r="G145">
        <v>0</v>
      </c>
      <c r="H145">
        <f>IF(G145=1,#REF!,0)</f>
        <v>0</v>
      </c>
    </row>
    <row r="146" spans="1:8">
      <c r="A146" s="6" t="s">
        <v>80</v>
      </c>
      <c r="B146" s="1">
        <v>2.39</v>
      </c>
      <c r="G146">
        <v>0</v>
      </c>
      <c r="H146">
        <f>IF(G146=1,#REF!,0)</f>
        <v>0</v>
      </c>
    </row>
    <row r="147" spans="1:8">
      <c r="A147" s="6" t="s">
        <v>88</v>
      </c>
      <c r="B147" s="1">
        <v>0.89</v>
      </c>
      <c r="G147">
        <v>0</v>
      </c>
      <c r="H147">
        <f>IF(G147=1,#REF!,0)</f>
        <v>0</v>
      </c>
    </row>
    <row r="148" spans="1:8">
      <c r="A148" s="6" t="s">
        <v>144</v>
      </c>
      <c r="B148" s="1">
        <v>1.2</v>
      </c>
      <c r="G148">
        <v>0</v>
      </c>
      <c r="H148">
        <f>IF(G148=1,#REF!,0)</f>
        <v>0</v>
      </c>
    </row>
    <row r="149" spans="1:8">
      <c r="A149" s="6" t="s">
        <v>22</v>
      </c>
      <c r="B149" s="1">
        <v>0.69</v>
      </c>
      <c r="G149">
        <v>0</v>
      </c>
      <c r="H149">
        <f>IF(G149=1,#REF!,0)</f>
        <v>0</v>
      </c>
    </row>
    <row r="150" spans="1:8">
      <c r="A150" s="6" t="s">
        <v>23</v>
      </c>
      <c r="B150" s="1">
        <v>0.99</v>
      </c>
      <c r="G150">
        <v>1</v>
      </c>
      <c r="H150" t="e">
        <f>IF(G150=1,#REF!,0)</f>
        <v>#REF!</v>
      </c>
    </row>
    <row r="151" spans="1:8">
      <c r="A151" s="6" t="s">
        <v>109</v>
      </c>
      <c r="B151" s="1">
        <v>4</v>
      </c>
      <c r="G151">
        <v>0</v>
      </c>
      <c r="H151">
        <f>IF(G151=1,#REF!,0)</f>
        <v>0</v>
      </c>
    </row>
    <row r="152" spans="1:8">
      <c r="A152" s="6" t="s">
        <v>68</v>
      </c>
      <c r="B152" s="1">
        <v>1</v>
      </c>
      <c r="G152">
        <v>0</v>
      </c>
      <c r="H152">
        <f>IF(G152=1,#REF!,0)</f>
        <v>0</v>
      </c>
    </row>
    <row r="153" spans="1:8">
      <c r="A153" s="6" t="s">
        <v>96</v>
      </c>
      <c r="B153" s="1">
        <v>1</v>
      </c>
      <c r="G153">
        <v>0</v>
      </c>
      <c r="H153">
        <f>IF(G153=1,#REF!,0)</f>
        <v>0</v>
      </c>
    </row>
    <row r="154" spans="1:8">
      <c r="A154" s="6" t="s">
        <v>97</v>
      </c>
      <c r="B154" s="1">
        <v>1</v>
      </c>
      <c r="G154">
        <v>0</v>
      </c>
      <c r="H154">
        <f>IF(G154=1,#REF!,0)</f>
        <v>0</v>
      </c>
    </row>
    <row r="155" spans="1:8">
      <c r="A155" s="6" t="s">
        <v>127</v>
      </c>
      <c r="B155" s="1">
        <v>0.89</v>
      </c>
      <c r="G155">
        <v>0</v>
      </c>
      <c r="H155">
        <f>IF(G155=1,#REF!,0)</f>
        <v>0</v>
      </c>
    </row>
    <row r="156" spans="1:8">
      <c r="A156" s="6" t="s">
        <v>98</v>
      </c>
      <c r="B156" s="1">
        <v>1.79</v>
      </c>
      <c r="G156">
        <v>0</v>
      </c>
      <c r="H156">
        <f>IF(G156=1,#REF!,0)</f>
        <v>0</v>
      </c>
    </row>
    <row r="157" spans="1:8">
      <c r="A157" s="6" t="s">
        <v>24</v>
      </c>
      <c r="B157" s="1">
        <v>1.79</v>
      </c>
      <c r="G157">
        <v>0</v>
      </c>
      <c r="H157">
        <f>IF(G157=1,#REF!,0)</f>
        <v>0</v>
      </c>
    </row>
    <row r="158" spans="1:8">
      <c r="A158" s="6" t="s">
        <v>69</v>
      </c>
      <c r="B158" s="1">
        <v>1</v>
      </c>
      <c r="G158">
        <v>1</v>
      </c>
      <c r="H158" t="e">
        <f>IF(G158=1,#REF!,0)</f>
        <v>#REF!</v>
      </c>
    </row>
    <row r="159" spans="1:8">
      <c r="A159" s="6" t="s">
        <v>70</v>
      </c>
      <c r="B159" s="1">
        <v>1.5</v>
      </c>
      <c r="G159">
        <v>0</v>
      </c>
      <c r="H159">
        <f>IF(G159=1,#REF!,0)</f>
        <v>0</v>
      </c>
    </row>
    <row r="160" spans="1:8">
      <c r="A160" s="6" t="s">
        <v>128</v>
      </c>
      <c r="B160" s="1">
        <v>1.19</v>
      </c>
      <c r="G160">
        <v>0</v>
      </c>
      <c r="H160">
        <f>IF(G160=1,#REF!,0)</f>
        <v>0</v>
      </c>
    </row>
    <row r="161" spans="1:8">
      <c r="A161" s="6" t="s">
        <v>42</v>
      </c>
      <c r="B161" s="1">
        <v>2.19</v>
      </c>
      <c r="G161">
        <v>0</v>
      </c>
      <c r="H161">
        <f>IF(G161=1,#REF!,0)</f>
        <v>0</v>
      </c>
    </row>
    <row r="162" spans="1:8">
      <c r="A162" s="6" t="s">
        <v>25</v>
      </c>
      <c r="B162" s="1">
        <v>1.69</v>
      </c>
      <c r="G162">
        <v>0</v>
      </c>
      <c r="H162">
        <f>IF(G162=1,#REF!,0)</f>
        <v>0</v>
      </c>
    </row>
    <row r="163" spans="1:8">
      <c r="A163" s="6" t="s">
        <v>26</v>
      </c>
      <c r="B163" s="1">
        <v>1.29</v>
      </c>
      <c r="G163">
        <v>0</v>
      </c>
      <c r="H163">
        <f>IF(G163=1,#REF!,0)</f>
        <v>0</v>
      </c>
    </row>
    <row r="164" spans="1:8">
      <c r="A164" s="6" t="s">
        <v>71</v>
      </c>
      <c r="B164" s="1">
        <v>0.89</v>
      </c>
      <c r="G164">
        <v>0</v>
      </c>
      <c r="H164">
        <f>IF(G164=1,#REF!,0)</f>
        <v>0</v>
      </c>
    </row>
    <row r="165" spans="1:8">
      <c r="A165" s="6" t="s">
        <v>99</v>
      </c>
      <c r="B165" s="1">
        <v>4.6900000000000004</v>
      </c>
      <c r="G165">
        <v>0</v>
      </c>
      <c r="H165">
        <f>IF(G165=1,#REF!,0)</f>
        <v>0</v>
      </c>
    </row>
    <row r="166" spans="1:8">
      <c r="A166" s="6" t="s">
        <v>129</v>
      </c>
      <c r="B166" s="1">
        <v>5.99</v>
      </c>
      <c r="G166">
        <v>1</v>
      </c>
      <c r="H166" t="e">
        <f>IF(G166=1,#REF!,0)</f>
        <v>#REF!</v>
      </c>
    </row>
    <row r="167" spans="1:8">
      <c r="A167" s="6" t="s">
        <v>43</v>
      </c>
      <c r="B167" s="1">
        <v>1.79</v>
      </c>
      <c r="G167">
        <v>0</v>
      </c>
      <c r="H167">
        <f>IF(G167=1,#REF!,0)</f>
        <v>0</v>
      </c>
    </row>
    <row r="168" spans="1:8">
      <c r="A168" s="6" t="s">
        <v>27</v>
      </c>
      <c r="B168" s="1">
        <v>3.99</v>
      </c>
      <c r="G168">
        <v>0</v>
      </c>
      <c r="H168">
        <f>IF(G168=1,#REF!,0)</f>
        <v>0</v>
      </c>
    </row>
    <row r="169" spans="1:8">
      <c r="A169" s="6" t="s">
        <v>110</v>
      </c>
      <c r="B169" s="1">
        <v>2.59</v>
      </c>
      <c r="G169">
        <v>0</v>
      </c>
      <c r="H169">
        <f>IF(G169=1,#REF!,0)</f>
        <v>0</v>
      </c>
    </row>
    <row r="170" spans="1:8">
      <c r="A170" s="6" t="s">
        <v>28</v>
      </c>
      <c r="B170" s="1">
        <v>2.99</v>
      </c>
      <c r="G170">
        <v>0</v>
      </c>
      <c r="H170">
        <f>IF(G170=1,#REF!,0)</f>
        <v>0</v>
      </c>
    </row>
    <row r="171" spans="1:8">
      <c r="A171" s="6" t="s">
        <v>111</v>
      </c>
      <c r="B171" s="1">
        <v>2.99</v>
      </c>
      <c r="G171">
        <v>0</v>
      </c>
      <c r="H171">
        <f>IF(G171=1,#REF!,0)</f>
        <v>0</v>
      </c>
    </row>
    <row r="172" spans="1:8">
      <c r="A172" s="6" t="s">
        <v>112</v>
      </c>
      <c r="B172" s="1">
        <v>3.99</v>
      </c>
      <c r="G172">
        <v>0</v>
      </c>
      <c r="H172">
        <f>IF(G172=1,#REF!,0)</f>
        <v>0</v>
      </c>
    </row>
    <row r="173" spans="1:8">
      <c r="A173" s="6" t="s">
        <v>100</v>
      </c>
      <c r="B173" s="1">
        <v>2.29</v>
      </c>
      <c r="G173">
        <v>0</v>
      </c>
      <c r="H173">
        <f>IF(G173=1,#REF!,0)</f>
        <v>0</v>
      </c>
    </row>
    <row r="174" spans="1:8">
      <c r="A174" s="6" t="s">
        <v>101</v>
      </c>
      <c r="B174" s="1">
        <v>3.99</v>
      </c>
      <c r="G174">
        <v>1</v>
      </c>
      <c r="H174" t="e">
        <f>IF(G174=1,#REF!,0)</f>
        <v>#REF!</v>
      </c>
    </row>
    <row r="175" spans="1:8">
      <c r="A175" s="6" t="s">
        <v>44</v>
      </c>
      <c r="B175" s="1">
        <v>4.99</v>
      </c>
      <c r="G175">
        <v>0</v>
      </c>
      <c r="H175">
        <f>IF(G175=1,#REF!,0)</f>
        <v>0</v>
      </c>
    </row>
    <row r="176" spans="1:8">
      <c r="A176" s="6" t="s">
        <v>29</v>
      </c>
      <c r="B176" s="1">
        <v>3.29</v>
      </c>
      <c r="G176">
        <v>0</v>
      </c>
      <c r="H176">
        <f>IF(G176=1,#REF!,0)</f>
        <v>0</v>
      </c>
    </row>
    <row r="177" spans="1:8">
      <c r="A177" s="6" t="s">
        <v>45</v>
      </c>
      <c r="B177" s="1">
        <v>10.99</v>
      </c>
      <c r="G177">
        <v>0</v>
      </c>
      <c r="H177">
        <f>IF(G177=1,#REF!,0)</f>
        <v>0</v>
      </c>
    </row>
    <row r="178" spans="1:8">
      <c r="A178" s="6" t="s">
        <v>130</v>
      </c>
      <c r="B178" s="1">
        <v>3.99</v>
      </c>
      <c r="G178">
        <v>0</v>
      </c>
      <c r="H178">
        <f>IF(G178=1,#REF!,0)</f>
        <v>0</v>
      </c>
    </row>
    <row r="179" spans="1:8">
      <c r="A179" s="6" t="s">
        <v>30</v>
      </c>
      <c r="B179" s="1">
        <v>1.79</v>
      </c>
      <c r="G179">
        <v>0</v>
      </c>
      <c r="H179">
        <f>IF(G179=1,#REF!,0)</f>
        <v>0</v>
      </c>
    </row>
    <row r="180" spans="1:8">
      <c r="A180" s="6" t="s">
        <v>131</v>
      </c>
      <c r="B180" s="1">
        <v>5.79</v>
      </c>
      <c r="G180">
        <v>0</v>
      </c>
      <c r="H180">
        <f>IF(G180=1,#REF!,0)</f>
        <v>0</v>
      </c>
    </row>
    <row r="181" spans="1:8">
      <c r="A181" s="6" t="s">
        <v>145</v>
      </c>
      <c r="B181" s="1">
        <v>0.99</v>
      </c>
      <c r="G181">
        <v>0</v>
      </c>
      <c r="H181">
        <f>IF(G181=1,#REF!,0)</f>
        <v>0</v>
      </c>
    </row>
    <row r="182" spans="1:8">
      <c r="A182" s="6" t="s">
        <v>81</v>
      </c>
      <c r="B182" s="1">
        <v>2.4900000000000002</v>
      </c>
      <c r="G182">
        <v>1</v>
      </c>
      <c r="H182" t="e">
        <f>IF(G182=1,#REF!,0)</f>
        <v>#REF!</v>
      </c>
    </row>
    <row r="183" spans="1:8">
      <c r="A183" s="6" t="s">
        <v>132</v>
      </c>
      <c r="B183" s="1">
        <v>1</v>
      </c>
      <c r="G183">
        <v>0</v>
      </c>
      <c r="H183">
        <f>IF(G183=1,#REF!,0)</f>
        <v>0</v>
      </c>
    </row>
    <row r="184" spans="1:8">
      <c r="A184" s="6" t="s">
        <v>102</v>
      </c>
      <c r="B184" s="1">
        <v>1</v>
      </c>
      <c r="G184">
        <v>0</v>
      </c>
      <c r="H184">
        <f>IF(G184=1,#REF!,0)</f>
        <v>0</v>
      </c>
    </row>
    <row r="185" spans="1:8">
      <c r="A185" s="6" t="s">
        <v>146</v>
      </c>
      <c r="B185" s="1">
        <v>1.29</v>
      </c>
      <c r="G185">
        <v>0</v>
      </c>
      <c r="H185">
        <f>IF(G185=1,#REF!,0)</f>
        <v>0</v>
      </c>
    </row>
    <row r="186" spans="1:8">
      <c r="A186" s="6" t="s">
        <v>31</v>
      </c>
      <c r="B186" s="1">
        <v>1.29</v>
      </c>
      <c r="G186">
        <v>0</v>
      </c>
      <c r="H186">
        <f>IF(G186=1,#REF!,0)</f>
        <v>0</v>
      </c>
    </row>
    <row r="187" spans="1:8">
      <c r="A187" s="6" t="s">
        <v>113</v>
      </c>
      <c r="B187" s="1">
        <v>1.3</v>
      </c>
      <c r="G187">
        <v>0</v>
      </c>
      <c r="H187">
        <f>IF(G187=1,#REF!,0)</f>
        <v>0</v>
      </c>
    </row>
    <row r="188" spans="1:8">
      <c r="A188" s="6" t="s">
        <v>72</v>
      </c>
      <c r="B188" s="1">
        <v>1.99</v>
      </c>
      <c r="G188">
        <v>0</v>
      </c>
      <c r="H188">
        <f>IF(G188=1,#REF!,0)</f>
        <v>0</v>
      </c>
    </row>
    <row r="189" spans="1:8">
      <c r="A189" s="6" t="s">
        <v>82</v>
      </c>
      <c r="B189" s="1">
        <v>2.69</v>
      </c>
      <c r="G189">
        <v>0</v>
      </c>
      <c r="H189">
        <f>IF(G189=1,#REF!,0)</f>
        <v>0</v>
      </c>
    </row>
    <row r="190" spans="1:8">
      <c r="A190" s="6" t="s">
        <v>73</v>
      </c>
      <c r="B190" s="1">
        <v>2.69</v>
      </c>
      <c r="G190">
        <v>1</v>
      </c>
      <c r="H190" t="e">
        <f>IF(G190=1,#REF!,0)</f>
        <v>#REF!</v>
      </c>
    </row>
    <row r="191" spans="1:8">
      <c r="A191" s="6" t="s">
        <v>74</v>
      </c>
      <c r="B191" s="1">
        <v>2.79</v>
      </c>
      <c r="G191">
        <v>0</v>
      </c>
      <c r="H191">
        <f>IF(G191=1,#REF!,0)</f>
        <v>0</v>
      </c>
    </row>
    <row r="192" spans="1:8">
      <c r="A192" s="6" t="s">
        <v>75</v>
      </c>
      <c r="B192" s="1">
        <v>2.79</v>
      </c>
      <c r="G192">
        <v>0</v>
      </c>
      <c r="H192">
        <f>IF(G192=1,#REF!,0)</f>
        <v>0</v>
      </c>
    </row>
    <row r="193" spans="1:8">
      <c r="A193" s="6" t="s">
        <v>32</v>
      </c>
      <c r="B193" s="1">
        <v>3.15</v>
      </c>
      <c r="G193">
        <v>0</v>
      </c>
      <c r="H193">
        <f>IF(G193=1,#REF!,0)</f>
        <v>0</v>
      </c>
    </row>
    <row r="194" spans="1:8">
      <c r="A194" s="6" t="s">
        <v>76</v>
      </c>
      <c r="B194" s="1">
        <v>3.19</v>
      </c>
      <c r="G194">
        <v>0</v>
      </c>
      <c r="H194">
        <f>IF(G194=1,#REF!,0)</f>
        <v>0</v>
      </c>
    </row>
    <row r="195" spans="1:8">
      <c r="A195" s="6" t="s">
        <v>147</v>
      </c>
      <c r="B195" s="1">
        <v>3.19</v>
      </c>
      <c r="G195">
        <v>0</v>
      </c>
      <c r="H195">
        <f>IF(G195=1,#REF!,0)</f>
        <v>0</v>
      </c>
    </row>
    <row r="196" spans="1:8">
      <c r="A196" t="s">
        <v>33</v>
      </c>
      <c r="B196" s="1">
        <v>1.8</v>
      </c>
      <c r="G196">
        <v>0</v>
      </c>
      <c r="H196">
        <f>IF(G196=1,#REF!,0)</f>
        <v>0</v>
      </c>
    </row>
    <row r="197" spans="1:8">
      <c r="A197" s="6" t="s">
        <v>103</v>
      </c>
      <c r="B197" s="1">
        <v>4.3899999999999997</v>
      </c>
      <c r="G197">
        <v>0</v>
      </c>
      <c r="H197">
        <f>IF(G197=1,#REF!,0)</f>
        <v>0</v>
      </c>
    </row>
    <row r="198" spans="1:8">
      <c r="A198" s="6" t="s">
        <v>133</v>
      </c>
      <c r="B198" s="1">
        <v>1.99</v>
      </c>
      <c r="G198">
        <v>1</v>
      </c>
      <c r="H198" t="e">
        <f>IF(G198=1,#REF!,0)</f>
        <v>#REF!</v>
      </c>
    </row>
    <row r="199" spans="1:8">
      <c r="A199" s="6" t="s">
        <v>34</v>
      </c>
      <c r="B199" s="1">
        <v>3.69</v>
      </c>
      <c r="G199">
        <v>0</v>
      </c>
      <c r="H199">
        <f>IF(G199=1,#REF!,0)</f>
        <v>0</v>
      </c>
    </row>
    <row r="200" spans="1:8">
      <c r="G200">
        <v>0</v>
      </c>
      <c r="H200">
        <f>IF(G200=1,#REF!,0)</f>
        <v>0</v>
      </c>
    </row>
    <row r="201" spans="1:8">
      <c r="B201"/>
      <c r="G201">
        <v>0</v>
      </c>
      <c r="H201">
        <f>IF(G201=1,#REF!,0)</f>
        <v>0</v>
      </c>
    </row>
    <row r="202" spans="1:8">
      <c r="B202"/>
      <c r="G202">
        <v>0</v>
      </c>
      <c r="H202">
        <f>IF(G202=1,#REF!,0)</f>
        <v>0</v>
      </c>
    </row>
    <row r="203" spans="1:8">
      <c r="B203"/>
      <c r="G203">
        <v>0</v>
      </c>
      <c r="H203">
        <f>IF(G203=1,#REF!,0)</f>
        <v>0</v>
      </c>
    </row>
    <row r="204" spans="1:8">
      <c r="B204"/>
      <c r="G204">
        <v>0</v>
      </c>
      <c r="H204">
        <f>IF(G204=1,#REF!,0)</f>
        <v>0</v>
      </c>
    </row>
    <row r="205" spans="1:8">
      <c r="B205"/>
      <c r="G205">
        <v>0</v>
      </c>
      <c r="H205">
        <f>IF(G205=1,#REF!,0)</f>
        <v>0</v>
      </c>
    </row>
    <row r="206" spans="1:8">
      <c r="B206"/>
      <c r="G206">
        <v>1</v>
      </c>
      <c r="H206" t="e">
        <f>IF(G206=1,#REF!,0)</f>
        <v>#REF!</v>
      </c>
    </row>
    <row r="207" spans="1:8">
      <c r="B207"/>
      <c r="G207">
        <v>0</v>
      </c>
      <c r="H207">
        <f>IF(G207=1,#REF!,0)</f>
        <v>0</v>
      </c>
    </row>
    <row r="208" spans="1:8">
      <c r="B208"/>
      <c r="G208">
        <v>0</v>
      </c>
      <c r="H208">
        <f>IF(G208=1,#REF!,0)</f>
        <v>0</v>
      </c>
    </row>
    <row r="209" spans="2:8">
      <c r="B209"/>
      <c r="G209">
        <v>0</v>
      </c>
      <c r="H209">
        <f>IF(G209=1,#REF!,0)</f>
        <v>0</v>
      </c>
    </row>
    <row r="210" spans="2:8">
      <c r="B210"/>
      <c r="G210">
        <v>0</v>
      </c>
      <c r="H210">
        <f>IF(G210=1,#REF!,0)</f>
        <v>0</v>
      </c>
    </row>
    <row r="211" spans="2:8">
      <c r="B211"/>
      <c r="G211">
        <v>0</v>
      </c>
      <c r="H211">
        <f>IF(G211=1,#REF!,0)</f>
        <v>0</v>
      </c>
    </row>
    <row r="212" spans="2:8">
      <c r="B212"/>
      <c r="G212">
        <v>0</v>
      </c>
      <c r="H212">
        <f>IF(G212=1,#REF!,0)</f>
        <v>0</v>
      </c>
    </row>
    <row r="213" spans="2:8">
      <c r="B213"/>
      <c r="G213">
        <v>0</v>
      </c>
      <c r="H213">
        <f>IF(G213=1,#REF!,0)</f>
        <v>0</v>
      </c>
    </row>
    <row r="214" spans="2:8">
      <c r="B214"/>
      <c r="G214">
        <v>1</v>
      </c>
      <c r="H214" t="e">
        <f>IF(G214=1,#REF!,0)</f>
        <v>#REF!</v>
      </c>
    </row>
    <row r="215" spans="2:8">
      <c r="B215"/>
      <c r="G215">
        <v>0</v>
      </c>
      <c r="H215">
        <f>IF(G215=1,#REF!,0)</f>
        <v>0</v>
      </c>
    </row>
    <row r="216" spans="2:8">
      <c r="B216"/>
      <c r="G216">
        <v>0</v>
      </c>
      <c r="H216">
        <f>IF(G216=1,#REF!,0)</f>
        <v>0</v>
      </c>
    </row>
    <row r="217" spans="2:8">
      <c r="B217"/>
      <c r="G217">
        <v>0</v>
      </c>
      <c r="H217">
        <f>IF(G217=1,#REF!,0)</f>
        <v>0</v>
      </c>
    </row>
    <row r="218" spans="2:8">
      <c r="B218"/>
      <c r="G218">
        <v>0</v>
      </c>
      <c r="H218">
        <f>IF(G218=1,#REF!,0)</f>
        <v>0</v>
      </c>
    </row>
    <row r="219" spans="2:8">
      <c r="B219"/>
      <c r="G219">
        <v>0</v>
      </c>
      <c r="H219">
        <f>IF(G219=1,#REF!,0)</f>
        <v>0</v>
      </c>
    </row>
    <row r="220" spans="2:8">
      <c r="B220"/>
      <c r="G220">
        <v>0</v>
      </c>
      <c r="H220">
        <f>IF(G220=1,#REF!,0)</f>
        <v>0</v>
      </c>
    </row>
    <row r="221" spans="2:8">
      <c r="B221"/>
      <c r="G221">
        <v>0</v>
      </c>
      <c r="H221">
        <f>IF(G221=1,#REF!,0)</f>
        <v>0</v>
      </c>
    </row>
    <row r="222" spans="2:8">
      <c r="B222"/>
      <c r="G222">
        <v>1</v>
      </c>
      <c r="H222" t="e">
        <f>IF(G222=1,#REF!,0)</f>
        <v>#REF!</v>
      </c>
    </row>
    <row r="223" spans="2:8">
      <c r="B223"/>
      <c r="G223">
        <v>0</v>
      </c>
      <c r="H223">
        <f>IF(G223=1,#REF!,0)</f>
        <v>0</v>
      </c>
    </row>
    <row r="224" spans="2:8">
      <c r="B224"/>
      <c r="G224">
        <v>0</v>
      </c>
      <c r="H224">
        <f>IF(G224=1,#REF!,0)</f>
        <v>0</v>
      </c>
    </row>
    <row r="225" spans="2:8">
      <c r="B225"/>
      <c r="G225">
        <v>0</v>
      </c>
      <c r="H225">
        <f>IF(G225=1,#REF!,0)</f>
        <v>0</v>
      </c>
    </row>
    <row r="226" spans="2:8">
      <c r="B226"/>
      <c r="G226">
        <v>0</v>
      </c>
      <c r="H226">
        <f>IF(G226=1,#REF!,0)</f>
        <v>0</v>
      </c>
    </row>
    <row r="227" spans="2:8">
      <c r="B227"/>
      <c r="G227">
        <v>0</v>
      </c>
      <c r="H227">
        <f>IF(G227=1,#REF!,0)</f>
        <v>0</v>
      </c>
    </row>
    <row r="228" spans="2:8">
      <c r="B228"/>
      <c r="G228">
        <v>0</v>
      </c>
      <c r="H228">
        <f>IF(G228=1,#REF!,0)</f>
        <v>0</v>
      </c>
    </row>
    <row r="229" spans="2:8">
      <c r="B229"/>
      <c r="G229">
        <v>0</v>
      </c>
      <c r="H229">
        <f>IF(G229=1,#REF!,0)</f>
        <v>0</v>
      </c>
    </row>
    <row r="230" spans="2:8">
      <c r="B230"/>
      <c r="G230">
        <v>1</v>
      </c>
      <c r="H230" t="e">
        <f>IF(G230=1,#REF!,0)</f>
        <v>#REF!</v>
      </c>
    </row>
    <row r="231" spans="2:8">
      <c r="B231"/>
      <c r="G231">
        <v>0</v>
      </c>
      <c r="H231">
        <f>IF(G231=1,#REF!,0)</f>
        <v>0</v>
      </c>
    </row>
    <row r="232" spans="2:8">
      <c r="B232"/>
      <c r="G232">
        <v>0</v>
      </c>
      <c r="H232">
        <f>IF(G232=1,#REF!,0)</f>
        <v>0</v>
      </c>
    </row>
    <row r="233" spans="2:8">
      <c r="B233"/>
      <c r="G233">
        <v>0</v>
      </c>
      <c r="H233">
        <f>IF(G233=1,#REF!,0)</f>
        <v>0</v>
      </c>
    </row>
    <row r="234" spans="2:8">
      <c r="B234"/>
      <c r="G234">
        <v>0</v>
      </c>
      <c r="H234">
        <f>IF(G234=1,#REF!,0)</f>
        <v>0</v>
      </c>
    </row>
    <row r="235" spans="2:8">
      <c r="B235"/>
      <c r="G235">
        <v>0</v>
      </c>
      <c r="H235">
        <f>IF(G235=1,#REF!,0)</f>
        <v>0</v>
      </c>
    </row>
    <row r="236" spans="2:8">
      <c r="B236"/>
      <c r="G236">
        <v>0</v>
      </c>
      <c r="H236">
        <f>IF(G236=1,#REF!,0)</f>
        <v>0</v>
      </c>
    </row>
    <row r="237" spans="2:8">
      <c r="B237"/>
      <c r="G237">
        <v>0</v>
      </c>
      <c r="H237">
        <f>IF(G237=1,#REF!,0)</f>
        <v>0</v>
      </c>
    </row>
    <row r="238" spans="2:8">
      <c r="B238"/>
      <c r="G238">
        <v>1</v>
      </c>
      <c r="H238" t="e">
        <f>IF(G238=1,#REF!,0)</f>
        <v>#REF!</v>
      </c>
    </row>
    <row r="239" spans="2:8">
      <c r="B239"/>
      <c r="G239">
        <v>0</v>
      </c>
      <c r="H239">
        <f>IF(G239=1,#REF!,0)</f>
        <v>0</v>
      </c>
    </row>
    <row r="240" spans="2:8">
      <c r="B240"/>
      <c r="G240">
        <v>0</v>
      </c>
      <c r="H240">
        <f>IF(G240=1,#REF!,0)</f>
        <v>0</v>
      </c>
    </row>
    <row r="241" spans="2:8">
      <c r="B241"/>
      <c r="G241">
        <v>0</v>
      </c>
      <c r="H241">
        <f>IF(G241=1,#REF!,0)</f>
        <v>0</v>
      </c>
    </row>
    <row r="242" spans="2:8">
      <c r="B242"/>
      <c r="G242">
        <v>0</v>
      </c>
      <c r="H242">
        <f>IF(G242=1,#REF!,0)</f>
        <v>0</v>
      </c>
    </row>
    <row r="243" spans="2:8">
      <c r="B243"/>
      <c r="G243">
        <v>0</v>
      </c>
      <c r="H243">
        <f>IF(G243=1,#REF!,0)</f>
        <v>0</v>
      </c>
    </row>
    <row r="244" spans="2:8">
      <c r="B244"/>
      <c r="G244">
        <v>0</v>
      </c>
      <c r="H244">
        <f>IF(G244=1,#REF!,0)</f>
        <v>0</v>
      </c>
    </row>
    <row r="245" spans="2:8">
      <c r="B245"/>
      <c r="G245">
        <v>0</v>
      </c>
      <c r="H245">
        <f>IF(G245=1,#REF!,0)</f>
        <v>0</v>
      </c>
    </row>
    <row r="246" spans="2:8">
      <c r="B246"/>
      <c r="G246">
        <v>1</v>
      </c>
      <c r="H246" t="e">
        <f>IF(G246=1,#REF!,0)</f>
        <v>#REF!</v>
      </c>
    </row>
    <row r="247" spans="2:8">
      <c r="B247"/>
      <c r="G247">
        <v>0</v>
      </c>
      <c r="H247">
        <f>IF(G247=1,#REF!,0)</f>
        <v>0</v>
      </c>
    </row>
    <row r="248" spans="2:8">
      <c r="B248"/>
      <c r="G248">
        <v>0</v>
      </c>
      <c r="H248">
        <f>IF(G248=1,#REF!,0)</f>
        <v>0</v>
      </c>
    </row>
    <row r="249" spans="2:8">
      <c r="B249"/>
      <c r="G249">
        <v>0</v>
      </c>
      <c r="H249">
        <f>IF(G249=1,#REF!,0)</f>
        <v>0</v>
      </c>
    </row>
    <row r="250" spans="2:8">
      <c r="B250"/>
      <c r="G250">
        <v>0</v>
      </c>
      <c r="H250">
        <f>IF(G250=1,#REF!,0)</f>
        <v>0</v>
      </c>
    </row>
    <row r="251" spans="2:8">
      <c r="B251"/>
      <c r="G251">
        <v>0</v>
      </c>
      <c r="H251">
        <f>IF(G251=1,#REF!,0)</f>
        <v>0</v>
      </c>
    </row>
    <row r="252" spans="2:8">
      <c r="B252"/>
      <c r="G252">
        <v>0</v>
      </c>
      <c r="H252">
        <f>IF(G252=1,#REF!,0)</f>
        <v>0</v>
      </c>
    </row>
    <row r="253" spans="2:8">
      <c r="B253"/>
      <c r="G253">
        <v>0</v>
      </c>
      <c r="H253">
        <f>IF(G253=1,#REF!,0)</f>
        <v>0</v>
      </c>
    </row>
    <row r="254" spans="2:8">
      <c r="B254"/>
      <c r="G254">
        <v>1</v>
      </c>
      <c r="H254" t="e">
        <f>IF(G254=1,#REF!,0)</f>
        <v>#REF!</v>
      </c>
    </row>
    <row r="255" spans="2:8">
      <c r="B255"/>
      <c r="G255">
        <v>0</v>
      </c>
      <c r="H255">
        <f>IF(G255=1,#REF!,0)</f>
        <v>0</v>
      </c>
    </row>
    <row r="256" spans="2:8">
      <c r="B256"/>
      <c r="G256">
        <v>0</v>
      </c>
      <c r="H256">
        <f>IF(G256=1,#REF!,0)</f>
        <v>0</v>
      </c>
    </row>
    <row r="257" spans="2:8">
      <c r="B257"/>
      <c r="G257">
        <v>0</v>
      </c>
      <c r="H257">
        <f>IF(G257=1,#REF!,0)</f>
        <v>0</v>
      </c>
    </row>
    <row r="258" spans="2:8">
      <c r="B258"/>
      <c r="G258">
        <v>0</v>
      </c>
      <c r="H258">
        <f>IF(G258=1,#REF!,0)</f>
        <v>0</v>
      </c>
    </row>
    <row r="259" spans="2:8">
      <c r="B259"/>
      <c r="G259">
        <v>0</v>
      </c>
      <c r="H259">
        <f>IF(G259=1,#REF!,0)</f>
        <v>0</v>
      </c>
    </row>
    <row r="260" spans="2:8">
      <c r="B260"/>
      <c r="G260">
        <v>0</v>
      </c>
      <c r="H260">
        <f>IF(G260=1,#REF!,0)</f>
        <v>0</v>
      </c>
    </row>
    <row r="261" spans="2:8">
      <c r="B261"/>
      <c r="G261">
        <v>0</v>
      </c>
      <c r="H261">
        <f>IF(G261=1,#REF!,0)</f>
        <v>0</v>
      </c>
    </row>
    <row r="262" spans="2:8">
      <c r="B262"/>
      <c r="G262">
        <v>1</v>
      </c>
      <c r="H262" t="e">
        <f>IF(G262=1,#REF!,0)</f>
        <v>#REF!</v>
      </c>
    </row>
    <row r="263" spans="2:8">
      <c r="B263"/>
      <c r="G263">
        <v>0</v>
      </c>
      <c r="H263">
        <f>IF(G263=1,#REF!,0)</f>
        <v>0</v>
      </c>
    </row>
    <row r="264" spans="2:8">
      <c r="B264"/>
      <c r="G264">
        <v>0</v>
      </c>
      <c r="H264">
        <f>IF(G264=1,#REF!,0)</f>
        <v>0</v>
      </c>
    </row>
    <row r="265" spans="2:8">
      <c r="B265"/>
      <c r="G265">
        <v>0</v>
      </c>
      <c r="H265">
        <f>IF(G265=1,#REF!,0)</f>
        <v>0</v>
      </c>
    </row>
    <row r="266" spans="2:8">
      <c r="B266"/>
      <c r="G266">
        <v>0</v>
      </c>
      <c r="H266">
        <f>IF(G266=1,#REF!,0)</f>
        <v>0</v>
      </c>
    </row>
    <row r="267" spans="2:8">
      <c r="B267"/>
      <c r="G267">
        <v>0</v>
      </c>
      <c r="H267">
        <f>IF(G267=1,#REF!,0)</f>
        <v>0</v>
      </c>
    </row>
    <row r="268" spans="2:8">
      <c r="B268"/>
      <c r="G268">
        <v>0</v>
      </c>
      <c r="H268">
        <f>IF(G268=1,#REF!,0)</f>
        <v>0</v>
      </c>
    </row>
    <row r="269" spans="2:8">
      <c r="B269"/>
      <c r="G269">
        <v>0</v>
      </c>
      <c r="H269">
        <f>IF(G269=1,#REF!,0)</f>
        <v>0</v>
      </c>
    </row>
    <row r="270" spans="2:8">
      <c r="B270"/>
      <c r="G270">
        <v>1</v>
      </c>
      <c r="H270" t="e">
        <f>IF(G270=1,#REF!,0)</f>
        <v>#REF!</v>
      </c>
    </row>
    <row r="271" spans="2:8">
      <c r="B271"/>
      <c r="G271">
        <v>0</v>
      </c>
      <c r="H271">
        <f>IF(G271=1,#REF!,0)</f>
        <v>0</v>
      </c>
    </row>
    <row r="272" spans="2:8">
      <c r="B272"/>
      <c r="G272">
        <v>0</v>
      </c>
      <c r="H272">
        <f>IF(G272=1,#REF!,0)</f>
        <v>0</v>
      </c>
    </row>
    <row r="273" spans="2:8">
      <c r="B273"/>
      <c r="G273">
        <v>0</v>
      </c>
      <c r="H273">
        <f>IF(G273=1,#REF!,0)</f>
        <v>0</v>
      </c>
    </row>
    <row r="274" spans="2:8">
      <c r="B274"/>
      <c r="G274">
        <v>0</v>
      </c>
      <c r="H274">
        <f>IF(G274=1,#REF!,0)</f>
        <v>0</v>
      </c>
    </row>
    <row r="275" spans="2:8">
      <c r="B275"/>
      <c r="G275">
        <v>0</v>
      </c>
      <c r="H275">
        <f>IF(G275=1,#REF!,0)</f>
        <v>0</v>
      </c>
    </row>
    <row r="276" spans="2:8">
      <c r="B276"/>
      <c r="G276">
        <v>0</v>
      </c>
      <c r="H276">
        <f>IF(G276=1,#REF!,0)</f>
        <v>0</v>
      </c>
    </row>
    <row r="277" spans="2:8">
      <c r="B277"/>
      <c r="G277">
        <v>0</v>
      </c>
      <c r="H277">
        <f>IF(G277=1,#REF!,0)</f>
        <v>0</v>
      </c>
    </row>
    <row r="278" spans="2:8">
      <c r="B278"/>
      <c r="G278">
        <v>1</v>
      </c>
      <c r="H278" t="e">
        <f>IF(G278=1,#REF!,0)</f>
        <v>#REF!</v>
      </c>
    </row>
    <row r="279" spans="2:8">
      <c r="B279"/>
      <c r="G279">
        <v>0</v>
      </c>
      <c r="H279">
        <f>IF(G279=1,#REF!,0)</f>
        <v>0</v>
      </c>
    </row>
    <row r="280" spans="2:8">
      <c r="B280"/>
      <c r="G280">
        <v>0</v>
      </c>
      <c r="H280">
        <f>IF(G280=1,#REF!,0)</f>
        <v>0</v>
      </c>
    </row>
    <row r="281" spans="2:8">
      <c r="B281"/>
      <c r="G281">
        <v>0</v>
      </c>
      <c r="H281">
        <f>IF(G281=1,#REF!,0)</f>
        <v>0</v>
      </c>
    </row>
    <row r="282" spans="2:8">
      <c r="B282"/>
      <c r="G282">
        <v>0</v>
      </c>
      <c r="H282">
        <f>IF(G282=1,#REF!,0)</f>
        <v>0</v>
      </c>
    </row>
    <row r="283" spans="2:8">
      <c r="B283"/>
      <c r="G283">
        <v>0</v>
      </c>
      <c r="H283">
        <f>IF(G283=1,#REF!,0)</f>
        <v>0</v>
      </c>
    </row>
    <row r="284" spans="2:8">
      <c r="B284"/>
      <c r="G284">
        <v>0</v>
      </c>
      <c r="H284">
        <f>IF(G284=1,#REF!,0)</f>
        <v>0</v>
      </c>
    </row>
    <row r="285" spans="2:8">
      <c r="B285"/>
      <c r="G285">
        <v>0</v>
      </c>
      <c r="H285">
        <f>IF(G285=1,#REF!,0)</f>
        <v>0</v>
      </c>
    </row>
    <row r="286" spans="2:8">
      <c r="B286"/>
      <c r="G286">
        <v>1</v>
      </c>
      <c r="H286" t="e">
        <f>IF(G286=1,#REF!,0)</f>
        <v>#REF!</v>
      </c>
    </row>
    <row r="287" spans="2:8">
      <c r="B287"/>
      <c r="G287">
        <v>0</v>
      </c>
      <c r="H287">
        <f>IF(G287=1,#REF!,0)</f>
        <v>0</v>
      </c>
    </row>
    <row r="288" spans="2:8">
      <c r="B288"/>
      <c r="G288">
        <v>0</v>
      </c>
      <c r="H288">
        <f>IF(G288=1,#REF!,0)</f>
        <v>0</v>
      </c>
    </row>
    <row r="289" spans="2:8">
      <c r="B289"/>
      <c r="G289">
        <v>0</v>
      </c>
      <c r="H289">
        <f>IF(G289=1,#REF!,0)</f>
        <v>0</v>
      </c>
    </row>
    <row r="290" spans="2:8">
      <c r="B290"/>
      <c r="G290">
        <v>0</v>
      </c>
      <c r="H290">
        <f>IF(G290=1,#REF!,0)</f>
        <v>0</v>
      </c>
    </row>
    <row r="291" spans="2:8">
      <c r="B291"/>
      <c r="G291">
        <v>0</v>
      </c>
      <c r="H291">
        <f>IF(G291=1,#REF!,0)</f>
        <v>0</v>
      </c>
    </row>
    <row r="292" spans="2:8">
      <c r="B292"/>
      <c r="G292">
        <v>0</v>
      </c>
      <c r="H292">
        <f>IF(G292=1,#REF!,0)</f>
        <v>0</v>
      </c>
    </row>
    <row r="293" spans="2:8">
      <c r="B293"/>
      <c r="G293">
        <v>0</v>
      </c>
      <c r="H293">
        <f>IF(G293=1,#REF!,0)</f>
        <v>0</v>
      </c>
    </row>
    <row r="294" spans="2:8">
      <c r="B294"/>
      <c r="G294">
        <v>1</v>
      </c>
      <c r="H294" t="e">
        <f>IF(G294=1,#REF!,0)</f>
        <v>#REF!</v>
      </c>
    </row>
    <row r="295" spans="2:8">
      <c r="B295"/>
      <c r="G295">
        <v>0</v>
      </c>
      <c r="H295">
        <f>IF(G295=1,#REF!,0)</f>
        <v>0</v>
      </c>
    </row>
    <row r="296" spans="2:8">
      <c r="B296"/>
      <c r="G296">
        <v>0</v>
      </c>
      <c r="H296">
        <f>IF(G296=1,#REF!,0)</f>
        <v>0</v>
      </c>
    </row>
    <row r="297" spans="2:8">
      <c r="B297"/>
      <c r="G297">
        <v>0</v>
      </c>
      <c r="H297">
        <f>IF(G297=1,#REF!,0)</f>
        <v>0</v>
      </c>
    </row>
    <row r="298" spans="2:8">
      <c r="B298"/>
      <c r="G298">
        <v>0</v>
      </c>
      <c r="H298">
        <f>IF(G298=1,#REF!,0)</f>
        <v>0</v>
      </c>
    </row>
    <row r="299" spans="2:8">
      <c r="B299"/>
      <c r="G299">
        <v>0</v>
      </c>
      <c r="H299">
        <f>IF(G299=1,#REF!,0)</f>
        <v>0</v>
      </c>
    </row>
    <row r="300" spans="2:8">
      <c r="B300"/>
      <c r="G300">
        <v>0</v>
      </c>
      <c r="H300">
        <f>IF(G300=1,#REF!,0)</f>
        <v>0</v>
      </c>
    </row>
    <row r="301" spans="2:8">
      <c r="B301"/>
      <c r="G301">
        <v>0</v>
      </c>
      <c r="H301">
        <f>IF(G301=1,#REF!,0)</f>
        <v>0</v>
      </c>
    </row>
    <row r="302" spans="2:8">
      <c r="B302"/>
      <c r="G302">
        <v>1</v>
      </c>
      <c r="H302" t="e">
        <f>IF(G302=1,#REF!,0)</f>
        <v>#REF!</v>
      </c>
    </row>
    <row r="303" spans="2:8">
      <c r="B303"/>
      <c r="G303">
        <v>0</v>
      </c>
      <c r="H303">
        <f>IF(G303=1,#REF!,0)</f>
        <v>0</v>
      </c>
    </row>
    <row r="304" spans="2:8">
      <c r="B304"/>
      <c r="G304">
        <v>0</v>
      </c>
      <c r="H304">
        <f>IF(G304=1,#REF!,0)</f>
        <v>0</v>
      </c>
    </row>
    <row r="305" spans="2:8">
      <c r="B305"/>
      <c r="G305">
        <v>0</v>
      </c>
      <c r="H305">
        <f>IF(G305=1,#REF!,0)</f>
        <v>0</v>
      </c>
    </row>
    <row r="306" spans="2:8">
      <c r="B306"/>
      <c r="G306">
        <v>0</v>
      </c>
      <c r="H306">
        <f>IF(G306=1,#REF!,0)</f>
        <v>0</v>
      </c>
    </row>
    <row r="307" spans="2:8">
      <c r="B307"/>
      <c r="G307">
        <v>0</v>
      </c>
      <c r="H307">
        <f>IF(G307=1,#REF!,0)</f>
        <v>0</v>
      </c>
    </row>
    <row r="308" spans="2:8">
      <c r="B308"/>
      <c r="G308">
        <v>0</v>
      </c>
      <c r="H308">
        <f>IF(G308=1,#REF!,0)</f>
        <v>0</v>
      </c>
    </row>
    <row r="309" spans="2:8">
      <c r="B309"/>
      <c r="G309">
        <v>0</v>
      </c>
      <c r="H309">
        <f>IF(G309=1,#REF!,0)</f>
        <v>0</v>
      </c>
    </row>
    <row r="310" spans="2:8">
      <c r="B310"/>
      <c r="G310">
        <v>1</v>
      </c>
      <c r="H310" t="e">
        <f>IF(G310=1,#REF!,0)</f>
        <v>#REF!</v>
      </c>
    </row>
    <row r="311" spans="2:8">
      <c r="B311"/>
      <c r="G311">
        <v>0</v>
      </c>
      <c r="H311">
        <f>IF(G311=1,#REF!,0)</f>
        <v>0</v>
      </c>
    </row>
    <row r="312" spans="2:8">
      <c r="B312"/>
      <c r="G312">
        <v>0</v>
      </c>
      <c r="H312">
        <f>IF(G312=1,#REF!,0)</f>
        <v>0</v>
      </c>
    </row>
    <row r="313" spans="2:8">
      <c r="B313"/>
      <c r="G313">
        <v>0</v>
      </c>
      <c r="H313">
        <f>IF(G313=1,#REF!,0)</f>
        <v>0</v>
      </c>
    </row>
    <row r="314" spans="2:8">
      <c r="B314"/>
      <c r="G314">
        <v>0</v>
      </c>
      <c r="H314">
        <f>IF(G314=1,#REF!,0)</f>
        <v>0</v>
      </c>
    </row>
    <row r="315" spans="2:8">
      <c r="B315"/>
      <c r="G315">
        <v>0</v>
      </c>
      <c r="H315">
        <f>IF(G315=1,#REF!,0)</f>
        <v>0</v>
      </c>
    </row>
    <row r="316" spans="2:8">
      <c r="B316"/>
      <c r="G316">
        <v>0</v>
      </c>
      <c r="H316">
        <f>IF(G316=1,#REF!,0)</f>
        <v>0</v>
      </c>
    </row>
    <row r="317" spans="2:8">
      <c r="B317"/>
      <c r="G317">
        <v>0</v>
      </c>
      <c r="H317">
        <f>IF(G317=1,#REF!,0)</f>
        <v>0</v>
      </c>
    </row>
    <row r="318" spans="2:8">
      <c r="B318"/>
      <c r="G318">
        <v>1</v>
      </c>
      <c r="H318" t="e">
        <f>IF(G318=1,#REF!,0)</f>
        <v>#REF!</v>
      </c>
    </row>
    <row r="319" spans="2:8">
      <c r="B319"/>
      <c r="G319">
        <v>0</v>
      </c>
      <c r="H319">
        <f>IF(G319=1,#REF!,0)</f>
        <v>0</v>
      </c>
    </row>
    <row r="320" spans="2:8">
      <c r="B320"/>
      <c r="G320">
        <v>0</v>
      </c>
      <c r="H320">
        <f>IF(G320=1,#REF!,0)</f>
        <v>0</v>
      </c>
    </row>
    <row r="321" spans="2:8">
      <c r="B321"/>
      <c r="G321">
        <v>0</v>
      </c>
      <c r="H321">
        <f>IF(G321=1,#REF!,0)</f>
        <v>0</v>
      </c>
    </row>
    <row r="322" spans="2:8">
      <c r="B322"/>
      <c r="G322">
        <v>0</v>
      </c>
      <c r="H322">
        <f>IF(G322=1,#REF!,0)</f>
        <v>0</v>
      </c>
    </row>
    <row r="323" spans="2:8">
      <c r="B323"/>
      <c r="G323">
        <v>0</v>
      </c>
      <c r="H323">
        <f>IF(G323=1,#REF!,0)</f>
        <v>0</v>
      </c>
    </row>
    <row r="324" spans="2:8">
      <c r="B324"/>
      <c r="G324">
        <v>0</v>
      </c>
      <c r="H324">
        <f>IF(G324=1,#REF!,0)</f>
        <v>0</v>
      </c>
    </row>
    <row r="325" spans="2:8">
      <c r="B325"/>
      <c r="G325">
        <v>0</v>
      </c>
      <c r="H325">
        <f>IF(G325=1,#REF!,0)</f>
        <v>0</v>
      </c>
    </row>
    <row r="326" spans="2:8">
      <c r="B326"/>
      <c r="G326">
        <v>1</v>
      </c>
      <c r="H326" t="e">
        <f>IF(G326=1,#REF!,0)</f>
        <v>#REF!</v>
      </c>
    </row>
    <row r="327" spans="2:8">
      <c r="B327"/>
      <c r="G327">
        <v>0</v>
      </c>
      <c r="H327">
        <f>IF(G327=1,#REF!,0)</f>
        <v>0</v>
      </c>
    </row>
    <row r="328" spans="2:8">
      <c r="B328"/>
      <c r="G328">
        <v>0</v>
      </c>
      <c r="H328">
        <f>IF(G328=1,#REF!,0)</f>
        <v>0</v>
      </c>
    </row>
    <row r="329" spans="2:8">
      <c r="B329"/>
      <c r="G329">
        <v>0</v>
      </c>
      <c r="H329">
        <f>IF(G329=1,#REF!,0)</f>
        <v>0</v>
      </c>
    </row>
    <row r="330" spans="2:8">
      <c r="B330"/>
      <c r="G330">
        <v>0</v>
      </c>
      <c r="H330">
        <f>IF(G330=1,#REF!,0)</f>
        <v>0</v>
      </c>
    </row>
    <row r="331" spans="2:8">
      <c r="B331"/>
      <c r="G331">
        <v>0</v>
      </c>
      <c r="H331">
        <f>IF(G331=1,#REF!,0)</f>
        <v>0</v>
      </c>
    </row>
    <row r="332" spans="2:8">
      <c r="B332"/>
      <c r="G332">
        <v>0</v>
      </c>
      <c r="H332">
        <f>IF(G332=1,#REF!,0)</f>
        <v>0</v>
      </c>
    </row>
    <row r="333" spans="2:8">
      <c r="B333"/>
      <c r="G333">
        <v>0</v>
      </c>
      <c r="H333">
        <f>IF(G333=1,#REF!,0)</f>
        <v>0</v>
      </c>
    </row>
    <row r="334" spans="2:8">
      <c r="B334"/>
      <c r="G334">
        <v>1</v>
      </c>
      <c r="H334" t="e">
        <f>IF(G334=1,#REF!,0)</f>
        <v>#REF!</v>
      </c>
    </row>
    <row r="335" spans="2:8">
      <c r="B335"/>
      <c r="G335">
        <v>0</v>
      </c>
      <c r="H335">
        <f>IF(G335=1,#REF!,0)</f>
        <v>0</v>
      </c>
    </row>
    <row r="336" spans="2:8">
      <c r="B336"/>
      <c r="G336">
        <v>0</v>
      </c>
      <c r="H336">
        <f>IF(G336=1,#REF!,0)</f>
        <v>0</v>
      </c>
    </row>
    <row r="337" spans="2:8">
      <c r="B337"/>
      <c r="G337">
        <v>0</v>
      </c>
      <c r="H337">
        <f>IF(G337=1,#REF!,0)</f>
        <v>0</v>
      </c>
    </row>
    <row r="338" spans="2:8">
      <c r="B338"/>
      <c r="G338">
        <v>0</v>
      </c>
      <c r="H338">
        <f>IF(G338=1,#REF!,0)</f>
        <v>0</v>
      </c>
    </row>
    <row r="339" spans="2:8">
      <c r="B339"/>
      <c r="G339">
        <v>0</v>
      </c>
      <c r="H339">
        <f>IF(G339=1,#REF!,0)</f>
        <v>0</v>
      </c>
    </row>
    <row r="340" spans="2:8">
      <c r="B340"/>
      <c r="G340">
        <v>0</v>
      </c>
      <c r="H340">
        <f>IF(G340=1,#REF!,0)</f>
        <v>0</v>
      </c>
    </row>
    <row r="341" spans="2:8">
      <c r="B341"/>
      <c r="G341">
        <v>0</v>
      </c>
      <c r="H341">
        <f>IF(G341=1,#REF!,0)</f>
        <v>0</v>
      </c>
    </row>
    <row r="342" spans="2:8">
      <c r="B342"/>
      <c r="G342">
        <v>1</v>
      </c>
      <c r="H342" t="e">
        <f>IF(G342=1,#REF!,0)</f>
        <v>#REF!</v>
      </c>
    </row>
    <row r="343" spans="2:8">
      <c r="B343"/>
      <c r="G343">
        <v>0</v>
      </c>
      <c r="H343">
        <f>IF(G343=1,#REF!,0)</f>
        <v>0</v>
      </c>
    </row>
    <row r="344" spans="2:8">
      <c r="B344"/>
      <c r="G344">
        <v>0</v>
      </c>
      <c r="H344">
        <f>IF(G344=1,#REF!,0)</f>
        <v>0</v>
      </c>
    </row>
    <row r="345" spans="2:8">
      <c r="B345"/>
      <c r="G345">
        <v>0</v>
      </c>
      <c r="H345">
        <f>IF(G345=1,#REF!,0)</f>
        <v>0</v>
      </c>
    </row>
    <row r="346" spans="2:8">
      <c r="B346"/>
      <c r="G346">
        <v>0</v>
      </c>
      <c r="H346">
        <f>IF(G346=1,#REF!,0)</f>
        <v>0</v>
      </c>
    </row>
    <row r="347" spans="2:8">
      <c r="B347"/>
      <c r="G347">
        <v>0</v>
      </c>
      <c r="H347">
        <f>IF(G347=1,#REF!,0)</f>
        <v>0</v>
      </c>
    </row>
    <row r="348" spans="2:8">
      <c r="B348"/>
      <c r="G348">
        <v>0</v>
      </c>
      <c r="H348">
        <f>IF(G348=1,#REF!,0)</f>
        <v>0</v>
      </c>
    </row>
    <row r="349" spans="2:8">
      <c r="B349"/>
      <c r="G349">
        <v>0</v>
      </c>
      <c r="H349">
        <f>IF(G349=1,#REF!,0)</f>
        <v>0</v>
      </c>
    </row>
    <row r="350" spans="2:8">
      <c r="B350"/>
      <c r="G350">
        <v>1</v>
      </c>
      <c r="H350" t="e">
        <f>IF(G350=1,#REF!,0)</f>
        <v>#REF!</v>
      </c>
    </row>
    <row r="351" spans="2:8">
      <c r="B351"/>
      <c r="G351">
        <v>0</v>
      </c>
      <c r="H351">
        <f>IF(G351=1,#REF!,0)</f>
        <v>0</v>
      </c>
    </row>
    <row r="352" spans="2:8">
      <c r="B352"/>
      <c r="G352">
        <v>0</v>
      </c>
      <c r="H352">
        <f>IF(G352=1,#REF!,0)</f>
        <v>0</v>
      </c>
    </row>
    <row r="353" spans="2:8">
      <c r="B353"/>
      <c r="G353">
        <v>0</v>
      </c>
      <c r="H353">
        <f>IF(G353=1,#REF!,0)</f>
        <v>0</v>
      </c>
    </row>
    <row r="354" spans="2:8">
      <c r="B354"/>
      <c r="G354">
        <v>0</v>
      </c>
      <c r="H354">
        <f>IF(G354=1,#REF!,0)</f>
        <v>0</v>
      </c>
    </row>
    <row r="355" spans="2:8">
      <c r="B355"/>
      <c r="G355">
        <v>0</v>
      </c>
      <c r="H355">
        <f>IF(G355=1,#REF!,0)</f>
        <v>0</v>
      </c>
    </row>
    <row r="356" spans="2:8">
      <c r="B356"/>
      <c r="G356">
        <v>0</v>
      </c>
      <c r="H356">
        <f>IF(G356=1,#REF!,0)</f>
        <v>0</v>
      </c>
    </row>
    <row r="357" spans="2:8">
      <c r="B357"/>
      <c r="G357">
        <v>0</v>
      </c>
      <c r="H357">
        <f>IF(G357=1,#REF!,0)</f>
        <v>0</v>
      </c>
    </row>
    <row r="358" spans="2:8">
      <c r="B358"/>
      <c r="G358">
        <v>1</v>
      </c>
      <c r="H358" t="e">
        <f>IF(G358=1,#REF!,0)</f>
        <v>#REF!</v>
      </c>
    </row>
    <row r="359" spans="2:8">
      <c r="B359"/>
      <c r="G359">
        <v>0</v>
      </c>
      <c r="H359">
        <f>IF(G359=1,#REF!,0)</f>
        <v>0</v>
      </c>
    </row>
    <row r="360" spans="2:8">
      <c r="B360"/>
      <c r="G360">
        <v>0</v>
      </c>
      <c r="H360">
        <f>IF(G360=1,#REF!,0)</f>
        <v>0</v>
      </c>
    </row>
    <row r="361" spans="2:8">
      <c r="B361"/>
      <c r="G361">
        <v>0</v>
      </c>
      <c r="H361">
        <f>IF(G361=1,#REF!,0)</f>
        <v>0</v>
      </c>
    </row>
    <row r="362" spans="2:8">
      <c r="B362"/>
      <c r="G362">
        <v>0</v>
      </c>
      <c r="H362">
        <f>IF(G362=1,#REF!,0)</f>
        <v>0</v>
      </c>
    </row>
    <row r="363" spans="2:8">
      <c r="B363"/>
      <c r="G363">
        <v>0</v>
      </c>
      <c r="H363">
        <f>IF(G363=1,#REF!,0)</f>
        <v>0</v>
      </c>
    </row>
    <row r="364" spans="2:8">
      <c r="B364"/>
      <c r="G364">
        <v>0</v>
      </c>
      <c r="H364">
        <f>IF(G364=1,#REF!,0)</f>
        <v>0</v>
      </c>
    </row>
    <row r="365" spans="2:8">
      <c r="B365"/>
      <c r="G365">
        <v>0</v>
      </c>
      <c r="H365">
        <f>IF(G365=1,#REF!,0)</f>
        <v>0</v>
      </c>
    </row>
    <row r="366" spans="2:8">
      <c r="B366"/>
      <c r="G366">
        <v>1</v>
      </c>
      <c r="H366" t="e">
        <f>IF(G366=1,#REF!,0)</f>
        <v>#REF!</v>
      </c>
    </row>
    <row r="367" spans="2:8">
      <c r="B367"/>
      <c r="G367">
        <v>0</v>
      </c>
      <c r="H367">
        <f>IF(G367=1,#REF!,0)</f>
        <v>0</v>
      </c>
    </row>
    <row r="368" spans="2:8">
      <c r="B368"/>
      <c r="G368">
        <v>0</v>
      </c>
      <c r="H368">
        <f>IF(G368=1,#REF!,0)</f>
        <v>0</v>
      </c>
    </row>
    <row r="369" spans="2:8">
      <c r="B369"/>
      <c r="G369">
        <v>0</v>
      </c>
      <c r="H369">
        <f>IF(G369=1,#REF!,0)</f>
        <v>0</v>
      </c>
    </row>
    <row r="370" spans="2:8">
      <c r="B370"/>
      <c r="G370">
        <v>0</v>
      </c>
      <c r="H370">
        <f>IF(G370=1,#REF!,0)</f>
        <v>0</v>
      </c>
    </row>
    <row r="371" spans="2:8">
      <c r="B371"/>
      <c r="G371">
        <v>0</v>
      </c>
      <c r="H371">
        <f>IF(G371=1,#REF!,0)</f>
        <v>0</v>
      </c>
    </row>
    <row r="372" spans="2:8">
      <c r="B372"/>
      <c r="G372">
        <v>0</v>
      </c>
      <c r="H372">
        <f>IF(G372=1,#REF!,0)</f>
        <v>0</v>
      </c>
    </row>
    <row r="373" spans="2:8">
      <c r="B373"/>
      <c r="G373">
        <v>0</v>
      </c>
      <c r="H373">
        <f>IF(G373=1,#REF!,0)</f>
        <v>0</v>
      </c>
    </row>
    <row r="374" spans="2:8">
      <c r="B374"/>
      <c r="G374">
        <v>1</v>
      </c>
      <c r="H374" t="e">
        <f>IF(G374=1,#REF!,0)</f>
        <v>#REF!</v>
      </c>
    </row>
    <row r="375" spans="2:8">
      <c r="B375"/>
      <c r="G375">
        <v>0</v>
      </c>
      <c r="H375">
        <f>IF(G375=1,#REF!,0)</f>
        <v>0</v>
      </c>
    </row>
    <row r="376" spans="2:8">
      <c r="B376"/>
      <c r="G376">
        <v>0</v>
      </c>
      <c r="H376">
        <f>IF(G376=1,#REF!,0)</f>
        <v>0</v>
      </c>
    </row>
    <row r="377" spans="2:8">
      <c r="B377"/>
      <c r="G377">
        <v>0</v>
      </c>
      <c r="H377">
        <f>IF(G377=1,#REF!,0)</f>
        <v>0</v>
      </c>
    </row>
    <row r="378" spans="2:8">
      <c r="B378"/>
      <c r="G378">
        <v>0</v>
      </c>
      <c r="H378">
        <f>IF(G378=1,#REF!,0)</f>
        <v>0</v>
      </c>
    </row>
    <row r="379" spans="2:8">
      <c r="B379"/>
      <c r="G379">
        <v>0</v>
      </c>
      <c r="H379">
        <f>IF(G379=1,#REF!,0)</f>
        <v>0</v>
      </c>
    </row>
    <row r="380" spans="2:8">
      <c r="B380"/>
      <c r="G380">
        <v>0</v>
      </c>
      <c r="H380">
        <f>IF(G380=1,#REF!,0)</f>
        <v>0</v>
      </c>
    </row>
    <row r="381" spans="2:8">
      <c r="B381"/>
      <c r="G381">
        <v>0</v>
      </c>
      <c r="H381">
        <f>IF(G381=1,#REF!,0)</f>
        <v>0</v>
      </c>
    </row>
    <row r="382" spans="2:8">
      <c r="B382"/>
      <c r="G382">
        <v>1</v>
      </c>
      <c r="H382" t="e">
        <f>IF(G382=1,#REF!,0)</f>
        <v>#REF!</v>
      </c>
    </row>
    <row r="383" spans="2:8">
      <c r="B383"/>
      <c r="G383">
        <v>0</v>
      </c>
      <c r="H383">
        <f>IF(G383=1,#REF!,0)</f>
        <v>0</v>
      </c>
    </row>
    <row r="384" spans="2:8">
      <c r="B384"/>
      <c r="G384">
        <v>0</v>
      </c>
      <c r="H384">
        <f>IF(G384=1,#REF!,0)</f>
        <v>0</v>
      </c>
    </row>
    <row r="385" spans="2:8">
      <c r="B385"/>
      <c r="G385">
        <v>0</v>
      </c>
      <c r="H385">
        <f>IF(G385=1,#REF!,0)</f>
        <v>0</v>
      </c>
    </row>
    <row r="386" spans="2:8">
      <c r="B386"/>
      <c r="G386">
        <v>0</v>
      </c>
      <c r="H386">
        <f>IF(G386=1,#REF!,0)</f>
        <v>0</v>
      </c>
    </row>
    <row r="387" spans="2:8">
      <c r="B387"/>
      <c r="G387">
        <v>0</v>
      </c>
      <c r="H387">
        <f>IF(G387=1,#REF!,0)</f>
        <v>0</v>
      </c>
    </row>
    <row r="388" spans="2:8">
      <c r="B388"/>
      <c r="G388">
        <v>0</v>
      </c>
      <c r="H388">
        <f>IF(G388=1,#REF!,0)</f>
        <v>0</v>
      </c>
    </row>
    <row r="389" spans="2:8">
      <c r="B389"/>
      <c r="G389">
        <v>0</v>
      </c>
      <c r="H389">
        <f>IF(G389=1,#REF!,0)</f>
        <v>0</v>
      </c>
    </row>
    <row r="390" spans="2:8">
      <c r="B390"/>
      <c r="G390">
        <v>1</v>
      </c>
      <c r="H390" t="e">
        <f>IF(G390=1,#REF!,0)</f>
        <v>#REF!</v>
      </c>
    </row>
    <row r="391" spans="2:8">
      <c r="B391"/>
      <c r="G391">
        <v>0</v>
      </c>
      <c r="H391">
        <f>IF(G391=1,#REF!,0)</f>
        <v>0</v>
      </c>
    </row>
    <row r="392" spans="2:8">
      <c r="B392"/>
      <c r="G392">
        <v>0</v>
      </c>
      <c r="H392">
        <f>IF(G392=1,#REF!,0)</f>
        <v>0</v>
      </c>
    </row>
    <row r="393" spans="2:8">
      <c r="B393"/>
      <c r="G393">
        <v>0</v>
      </c>
      <c r="H393">
        <f>IF(G393=1,#REF!,0)</f>
        <v>0</v>
      </c>
    </row>
    <row r="394" spans="2:8">
      <c r="B394"/>
      <c r="G394">
        <v>0</v>
      </c>
      <c r="H394">
        <f>IF(G394=1,#REF!,0)</f>
        <v>0</v>
      </c>
    </row>
    <row r="395" spans="2:8">
      <c r="B395"/>
      <c r="G395">
        <v>0</v>
      </c>
      <c r="H395">
        <f>IF(G395=1,#REF!,0)</f>
        <v>0</v>
      </c>
    </row>
    <row r="396" spans="2:8">
      <c r="B396"/>
      <c r="G396">
        <v>0</v>
      </c>
      <c r="H396">
        <f>IF(G396=1,#REF!,0)</f>
        <v>0</v>
      </c>
    </row>
    <row r="397" spans="2:8">
      <c r="B397"/>
      <c r="G397">
        <v>0</v>
      </c>
      <c r="H397">
        <f>IF(G397=1,#REF!,0)</f>
        <v>0</v>
      </c>
    </row>
    <row r="398" spans="2:8">
      <c r="B398"/>
      <c r="G398">
        <v>1</v>
      </c>
      <c r="H398" t="e">
        <f>IF(G398=1,#REF!,0)</f>
        <v>#REF!</v>
      </c>
    </row>
    <row r="399" spans="2:8">
      <c r="B399"/>
      <c r="G399">
        <v>0</v>
      </c>
      <c r="H399">
        <f>IF(G399=1,#REF!,0)</f>
        <v>0</v>
      </c>
    </row>
    <row r="400" spans="2:8">
      <c r="B400"/>
      <c r="G400">
        <v>0</v>
      </c>
      <c r="H400">
        <f>IF(G400=1,#REF!,0)</f>
        <v>0</v>
      </c>
    </row>
    <row r="401" spans="2:8">
      <c r="B401"/>
      <c r="G401">
        <v>0</v>
      </c>
      <c r="H401">
        <f>IF(G401=1,#REF!,0)</f>
        <v>0</v>
      </c>
    </row>
    <row r="402" spans="2:8">
      <c r="B402"/>
      <c r="G402">
        <v>0</v>
      </c>
      <c r="H402">
        <f>IF(G402=1,#REF!,0)</f>
        <v>0</v>
      </c>
    </row>
    <row r="403" spans="2:8">
      <c r="B403"/>
      <c r="G403">
        <v>0</v>
      </c>
      <c r="H403">
        <f>IF(G403=1,#REF!,0)</f>
        <v>0</v>
      </c>
    </row>
    <row r="404" spans="2:8">
      <c r="B404"/>
      <c r="G404">
        <v>0</v>
      </c>
      <c r="H404">
        <f>IF(G404=1,#REF!,0)</f>
        <v>0</v>
      </c>
    </row>
    <row r="405" spans="2:8">
      <c r="B405"/>
      <c r="G405">
        <v>0</v>
      </c>
      <c r="H405">
        <f>IF(G405=1,#REF!,0)</f>
        <v>0</v>
      </c>
    </row>
    <row r="406" spans="2:8">
      <c r="B406"/>
      <c r="G406">
        <v>1</v>
      </c>
      <c r="H406" t="e">
        <f>IF(G406=1,#REF!,0)</f>
        <v>#REF!</v>
      </c>
    </row>
    <row r="407" spans="2:8">
      <c r="B407"/>
      <c r="G407">
        <v>0</v>
      </c>
      <c r="H407">
        <f>IF(G407=1,#REF!,0)</f>
        <v>0</v>
      </c>
    </row>
    <row r="408" spans="2:8">
      <c r="B408"/>
      <c r="G408">
        <v>0</v>
      </c>
      <c r="H408">
        <f>IF(G408=1,#REF!,0)</f>
        <v>0</v>
      </c>
    </row>
    <row r="409" spans="2:8">
      <c r="B409"/>
      <c r="G409">
        <v>0</v>
      </c>
      <c r="H409">
        <f>IF(G409=1,#REF!,0)</f>
        <v>0</v>
      </c>
    </row>
    <row r="410" spans="2:8">
      <c r="B410"/>
      <c r="G410">
        <v>0</v>
      </c>
      <c r="H410">
        <f>IF(G410=1,#REF!,0)</f>
        <v>0</v>
      </c>
    </row>
    <row r="411" spans="2:8">
      <c r="B411"/>
      <c r="G411">
        <v>0</v>
      </c>
      <c r="H411">
        <f>IF(G411=1,#REF!,0)</f>
        <v>0</v>
      </c>
    </row>
    <row r="412" spans="2:8">
      <c r="B412"/>
      <c r="G412">
        <v>0</v>
      </c>
      <c r="H412">
        <f>IF(G412=1,#REF!,0)</f>
        <v>0</v>
      </c>
    </row>
    <row r="413" spans="2:8">
      <c r="B413"/>
      <c r="G413">
        <v>0</v>
      </c>
      <c r="H413">
        <f>IF(G413=1,#REF!,0)</f>
        <v>0</v>
      </c>
    </row>
    <row r="414" spans="2:8">
      <c r="B414"/>
      <c r="G414">
        <v>1</v>
      </c>
      <c r="H414" t="e">
        <f>IF(G414=1,#REF!,0)</f>
        <v>#REF!</v>
      </c>
    </row>
    <row r="415" spans="2:8">
      <c r="B415"/>
      <c r="G415">
        <v>0</v>
      </c>
      <c r="H415">
        <f>IF(G415=1,#REF!,0)</f>
        <v>0</v>
      </c>
    </row>
    <row r="416" spans="2:8">
      <c r="B416"/>
      <c r="G416">
        <v>0</v>
      </c>
      <c r="H416">
        <f>IF(G416=1,#REF!,0)</f>
        <v>0</v>
      </c>
    </row>
    <row r="417" spans="2:8">
      <c r="B417"/>
      <c r="G417">
        <v>0</v>
      </c>
      <c r="H417">
        <f>IF(G417=1,#REF!,0)</f>
        <v>0</v>
      </c>
    </row>
    <row r="418" spans="2:8">
      <c r="B418"/>
      <c r="G418">
        <v>0</v>
      </c>
      <c r="H418">
        <f>IF(G418=1,#REF!,0)</f>
        <v>0</v>
      </c>
    </row>
    <row r="419" spans="2:8">
      <c r="B419"/>
      <c r="G419">
        <v>0</v>
      </c>
      <c r="H419">
        <f>IF(G419=1,#REF!,0)</f>
        <v>0</v>
      </c>
    </row>
    <row r="420" spans="2:8">
      <c r="B420"/>
      <c r="G420">
        <v>0</v>
      </c>
      <c r="H420">
        <f>IF(G420=1,#REF!,0)</f>
        <v>0</v>
      </c>
    </row>
    <row r="421" spans="2:8">
      <c r="B421"/>
      <c r="G421">
        <v>0</v>
      </c>
      <c r="H421">
        <f>IF(G421=1,#REF!,0)</f>
        <v>0</v>
      </c>
    </row>
    <row r="422" spans="2:8">
      <c r="B422"/>
      <c r="G422">
        <v>1</v>
      </c>
      <c r="H422" t="e">
        <f>IF(G422=1,#REF!,0)</f>
        <v>#REF!</v>
      </c>
    </row>
    <row r="423" spans="2:8">
      <c r="B423"/>
      <c r="G423">
        <v>0</v>
      </c>
      <c r="H423">
        <f>IF(G423=1,#REF!,0)</f>
        <v>0</v>
      </c>
    </row>
    <row r="424" spans="2:8">
      <c r="B424"/>
      <c r="G424">
        <v>0</v>
      </c>
      <c r="H424">
        <f>IF(G424=1,#REF!,0)</f>
        <v>0</v>
      </c>
    </row>
    <row r="425" spans="2:8">
      <c r="B425"/>
      <c r="G425">
        <v>0</v>
      </c>
      <c r="H425">
        <f>IF(G425=1,#REF!,0)</f>
        <v>0</v>
      </c>
    </row>
    <row r="426" spans="2:8">
      <c r="B426"/>
      <c r="G426">
        <v>0</v>
      </c>
      <c r="H426">
        <f>IF(G426=1,#REF!,0)</f>
        <v>0</v>
      </c>
    </row>
    <row r="427" spans="2:8">
      <c r="B427"/>
      <c r="G427">
        <v>0</v>
      </c>
      <c r="H427">
        <f>IF(G427=1,#REF!,0)</f>
        <v>0</v>
      </c>
    </row>
    <row r="428" spans="2:8">
      <c r="B428"/>
      <c r="G428">
        <v>0</v>
      </c>
      <c r="H428">
        <f>IF(G428=1,#REF!,0)</f>
        <v>0</v>
      </c>
    </row>
    <row r="429" spans="2:8">
      <c r="B429"/>
      <c r="G429">
        <v>0</v>
      </c>
      <c r="H429">
        <f>IF(G429=1,#REF!,0)</f>
        <v>0</v>
      </c>
    </row>
    <row r="430" spans="2:8">
      <c r="B430"/>
      <c r="G430">
        <v>1</v>
      </c>
      <c r="H430" t="e">
        <f>IF(G430=1,#REF!,0)</f>
        <v>#REF!</v>
      </c>
    </row>
    <row r="431" spans="2:8">
      <c r="B431"/>
      <c r="G431">
        <v>0</v>
      </c>
      <c r="H431">
        <f>IF(G431=1,#REF!,0)</f>
        <v>0</v>
      </c>
    </row>
    <row r="432" spans="2:8">
      <c r="B432"/>
      <c r="G432">
        <v>0</v>
      </c>
      <c r="H432">
        <f>IF(G432=1,#REF!,0)</f>
        <v>0</v>
      </c>
    </row>
    <row r="433" spans="2:8">
      <c r="B433"/>
      <c r="G433">
        <v>0</v>
      </c>
      <c r="H433">
        <f>IF(G433=1,#REF!,0)</f>
        <v>0</v>
      </c>
    </row>
    <row r="434" spans="2:8">
      <c r="B434"/>
      <c r="G434">
        <v>0</v>
      </c>
      <c r="H434">
        <f>IF(G434=1,#REF!,0)</f>
        <v>0</v>
      </c>
    </row>
    <row r="435" spans="2:8">
      <c r="B435"/>
      <c r="G435">
        <v>0</v>
      </c>
      <c r="H435">
        <f>IF(G435=1,#REF!,0)</f>
        <v>0</v>
      </c>
    </row>
    <row r="436" spans="2:8">
      <c r="B436"/>
      <c r="G436">
        <v>0</v>
      </c>
      <c r="H436">
        <f>IF(G436=1,#REF!,0)</f>
        <v>0</v>
      </c>
    </row>
    <row r="437" spans="2:8">
      <c r="B437"/>
      <c r="G437">
        <v>0</v>
      </c>
      <c r="H437">
        <f>IF(G437=1,#REF!,0)</f>
        <v>0</v>
      </c>
    </row>
    <row r="438" spans="2:8">
      <c r="B438"/>
      <c r="G438">
        <v>1</v>
      </c>
      <c r="H438" t="e">
        <f>IF(G438=1,#REF!,0)</f>
        <v>#REF!</v>
      </c>
    </row>
    <row r="439" spans="2:8">
      <c r="B439"/>
      <c r="G439">
        <v>0</v>
      </c>
      <c r="H439">
        <f>IF(G439=1,#REF!,0)</f>
        <v>0</v>
      </c>
    </row>
    <row r="440" spans="2:8">
      <c r="B440"/>
      <c r="G440">
        <v>0</v>
      </c>
      <c r="H440">
        <f>IF(G440=1,#REF!,0)</f>
        <v>0</v>
      </c>
    </row>
    <row r="441" spans="2:8">
      <c r="B441"/>
      <c r="G441">
        <v>0</v>
      </c>
      <c r="H441">
        <f>IF(G441=1,#REF!,0)</f>
        <v>0</v>
      </c>
    </row>
    <row r="442" spans="2:8">
      <c r="B442"/>
      <c r="G442">
        <v>0</v>
      </c>
      <c r="H442">
        <f>IF(G442=1,#REF!,0)</f>
        <v>0</v>
      </c>
    </row>
    <row r="443" spans="2:8">
      <c r="B443"/>
      <c r="G443">
        <v>0</v>
      </c>
      <c r="H443">
        <f>IF(G443=1,#REF!,0)</f>
        <v>0</v>
      </c>
    </row>
    <row r="444" spans="2:8">
      <c r="B444"/>
      <c r="G444">
        <v>0</v>
      </c>
      <c r="H444">
        <f>IF(G444=1,#REF!,0)</f>
        <v>0</v>
      </c>
    </row>
    <row r="445" spans="2:8">
      <c r="B445"/>
      <c r="G445">
        <v>0</v>
      </c>
      <c r="H445">
        <f>IF(G445=1,#REF!,0)</f>
        <v>0</v>
      </c>
    </row>
    <row r="446" spans="2:8">
      <c r="B446"/>
      <c r="G446">
        <v>1</v>
      </c>
      <c r="H446" t="e">
        <f>IF(G446=1,#REF!,0)</f>
        <v>#REF!</v>
      </c>
    </row>
    <row r="447" spans="2:8">
      <c r="B447"/>
      <c r="G447">
        <v>0</v>
      </c>
      <c r="H447">
        <f>IF(G447=1,#REF!,0)</f>
        <v>0</v>
      </c>
    </row>
    <row r="448" spans="2:8">
      <c r="B448"/>
      <c r="G448">
        <v>0</v>
      </c>
      <c r="H448">
        <f>IF(G448=1,#REF!,0)</f>
        <v>0</v>
      </c>
    </row>
    <row r="449" spans="2:8">
      <c r="B449"/>
      <c r="G449">
        <v>0</v>
      </c>
      <c r="H449">
        <f>IF(G449=1,#REF!,0)</f>
        <v>0</v>
      </c>
    </row>
    <row r="450" spans="2:8">
      <c r="B450"/>
      <c r="G450">
        <v>0</v>
      </c>
      <c r="H450">
        <f>IF(G450=1,#REF!,0)</f>
        <v>0</v>
      </c>
    </row>
    <row r="451" spans="2:8">
      <c r="B451"/>
      <c r="G451">
        <v>0</v>
      </c>
      <c r="H451">
        <f>IF(G451=1,#REF!,0)</f>
        <v>0</v>
      </c>
    </row>
    <row r="452" spans="2:8">
      <c r="B452"/>
      <c r="G452">
        <v>0</v>
      </c>
      <c r="H452">
        <f>IF(G452=1,#REF!,0)</f>
        <v>0</v>
      </c>
    </row>
    <row r="453" spans="2:8">
      <c r="B453"/>
      <c r="G453">
        <v>0</v>
      </c>
      <c r="H453">
        <f>IF(G453=1,#REF!,0)</f>
        <v>0</v>
      </c>
    </row>
    <row r="454" spans="2:8">
      <c r="B454"/>
      <c r="G454">
        <v>1</v>
      </c>
      <c r="H454" t="e">
        <f>IF(G454=1,#REF!,0)</f>
        <v>#REF!</v>
      </c>
    </row>
    <row r="455" spans="2:8">
      <c r="B455"/>
      <c r="G455">
        <v>0</v>
      </c>
      <c r="H455">
        <f>IF(G455=1,#REF!,0)</f>
        <v>0</v>
      </c>
    </row>
    <row r="456" spans="2:8">
      <c r="B456"/>
      <c r="G456">
        <v>0</v>
      </c>
      <c r="H456">
        <f>IF(G456=1,#REF!,0)</f>
        <v>0</v>
      </c>
    </row>
    <row r="457" spans="2:8">
      <c r="B457"/>
      <c r="G457">
        <v>0</v>
      </c>
      <c r="H457">
        <f>IF(G457=1,#REF!,0)</f>
        <v>0</v>
      </c>
    </row>
    <row r="458" spans="2:8">
      <c r="B458"/>
      <c r="G458">
        <v>0</v>
      </c>
      <c r="H458">
        <f>IF(G458=1,#REF!,0)</f>
        <v>0</v>
      </c>
    </row>
    <row r="459" spans="2:8">
      <c r="B459"/>
      <c r="G459">
        <v>0</v>
      </c>
      <c r="H459">
        <f>IF(G459=1,#REF!,0)</f>
        <v>0</v>
      </c>
    </row>
    <row r="460" spans="2:8">
      <c r="B460"/>
      <c r="G460">
        <v>0</v>
      </c>
      <c r="H460">
        <f>IF(G460=1,#REF!,0)</f>
        <v>0</v>
      </c>
    </row>
    <row r="461" spans="2:8">
      <c r="B461"/>
      <c r="G461">
        <v>0</v>
      </c>
      <c r="H461">
        <f>IF(G461=1,#REF!,0)</f>
        <v>0</v>
      </c>
    </row>
    <row r="462" spans="2:8">
      <c r="B462"/>
      <c r="G462">
        <v>1</v>
      </c>
      <c r="H462" t="e">
        <f>IF(G462=1,#REF!,0)</f>
        <v>#REF!</v>
      </c>
    </row>
    <row r="463" spans="2:8">
      <c r="B463"/>
      <c r="G463">
        <v>0</v>
      </c>
      <c r="H463">
        <f>IF(G463=1,#REF!,0)</f>
        <v>0</v>
      </c>
    </row>
    <row r="464" spans="2:8">
      <c r="B464"/>
      <c r="G464">
        <v>0</v>
      </c>
      <c r="H464">
        <f>IF(G464=1,#REF!,0)</f>
        <v>0</v>
      </c>
    </row>
    <row r="465" spans="2:8">
      <c r="B465"/>
      <c r="G465">
        <v>0</v>
      </c>
      <c r="H465">
        <f>IF(G465=1,#REF!,0)</f>
        <v>0</v>
      </c>
    </row>
    <row r="466" spans="2:8">
      <c r="B466"/>
      <c r="G466">
        <v>0</v>
      </c>
      <c r="H466">
        <f>IF(G466=1,#REF!,0)</f>
        <v>0</v>
      </c>
    </row>
    <row r="467" spans="2:8">
      <c r="B467"/>
      <c r="G467">
        <v>0</v>
      </c>
      <c r="H467">
        <f>IF(G467=1,#REF!,0)</f>
        <v>0</v>
      </c>
    </row>
    <row r="468" spans="2:8">
      <c r="B468"/>
      <c r="G468">
        <v>0</v>
      </c>
      <c r="H468">
        <f>IF(G468=1,#REF!,0)</f>
        <v>0</v>
      </c>
    </row>
    <row r="469" spans="2:8">
      <c r="B469"/>
      <c r="G469">
        <v>0</v>
      </c>
      <c r="H469">
        <f>IF(G469=1,#REF!,0)</f>
        <v>0</v>
      </c>
    </row>
    <row r="470" spans="2:8">
      <c r="B470"/>
      <c r="G470">
        <v>1</v>
      </c>
      <c r="H470" t="e">
        <f>IF(G470=1,#REF!,0)</f>
        <v>#REF!</v>
      </c>
    </row>
    <row r="471" spans="2:8">
      <c r="B471"/>
      <c r="G471">
        <v>0</v>
      </c>
      <c r="H471">
        <f>IF(G471=1,#REF!,0)</f>
        <v>0</v>
      </c>
    </row>
    <row r="472" spans="2:8">
      <c r="B472"/>
      <c r="G472">
        <v>0</v>
      </c>
      <c r="H472">
        <f>IF(G472=1,#REF!,0)</f>
        <v>0</v>
      </c>
    </row>
    <row r="473" spans="2:8">
      <c r="B473"/>
      <c r="G473">
        <v>0</v>
      </c>
      <c r="H473">
        <f>IF(G473=1,#REF!,0)</f>
        <v>0</v>
      </c>
    </row>
    <row r="474" spans="2:8">
      <c r="B474"/>
      <c r="G474">
        <v>0</v>
      </c>
      <c r="H474">
        <f>IF(G474=1,#REF!,0)</f>
        <v>0</v>
      </c>
    </row>
    <row r="475" spans="2:8">
      <c r="B475"/>
      <c r="G475">
        <v>0</v>
      </c>
      <c r="H475">
        <f>IF(G475=1,#REF!,0)</f>
        <v>0</v>
      </c>
    </row>
    <row r="476" spans="2:8">
      <c r="B476"/>
      <c r="G476">
        <v>0</v>
      </c>
      <c r="H476">
        <f>IF(G476=1,#REF!,0)</f>
        <v>0</v>
      </c>
    </row>
    <row r="477" spans="2:8">
      <c r="B477"/>
      <c r="G477">
        <v>0</v>
      </c>
      <c r="H477">
        <f>IF(G477=1,#REF!,0)</f>
        <v>0</v>
      </c>
    </row>
    <row r="478" spans="2:8">
      <c r="B478"/>
      <c r="G478">
        <v>1</v>
      </c>
      <c r="H478" t="e">
        <f>IF(G478=1,#REF!,0)</f>
        <v>#REF!</v>
      </c>
    </row>
    <row r="479" spans="2:8">
      <c r="B479"/>
      <c r="G479">
        <v>0</v>
      </c>
      <c r="H479">
        <f>IF(G479=1,#REF!,0)</f>
        <v>0</v>
      </c>
    </row>
    <row r="480" spans="2:8">
      <c r="B480"/>
      <c r="G480">
        <v>0</v>
      </c>
      <c r="H480">
        <f>IF(G480=1,#REF!,0)</f>
        <v>0</v>
      </c>
    </row>
    <row r="481" spans="2:8">
      <c r="B481"/>
      <c r="G481">
        <v>0</v>
      </c>
      <c r="H481">
        <f>IF(G481=1,#REF!,0)</f>
        <v>0</v>
      </c>
    </row>
    <row r="482" spans="2:8">
      <c r="B482"/>
      <c r="G482">
        <v>0</v>
      </c>
      <c r="H482">
        <f>IF(G482=1,#REF!,0)</f>
        <v>0</v>
      </c>
    </row>
    <row r="483" spans="2:8">
      <c r="B483"/>
      <c r="G483">
        <v>0</v>
      </c>
      <c r="H483">
        <f>IF(G483=1,#REF!,0)</f>
        <v>0</v>
      </c>
    </row>
    <row r="484" spans="2:8">
      <c r="B484"/>
      <c r="G484">
        <v>0</v>
      </c>
      <c r="H484">
        <f>IF(G484=1,#REF!,0)</f>
        <v>0</v>
      </c>
    </row>
    <row r="485" spans="2:8">
      <c r="B485"/>
      <c r="G485">
        <v>0</v>
      </c>
      <c r="H485">
        <f>IF(G485=1,#REF!,0)</f>
        <v>0</v>
      </c>
    </row>
    <row r="486" spans="2:8">
      <c r="B486"/>
      <c r="G486">
        <v>1</v>
      </c>
      <c r="H486" t="e">
        <f>IF(G486=1,#REF!,0)</f>
        <v>#REF!</v>
      </c>
    </row>
    <row r="487" spans="2:8">
      <c r="B487"/>
      <c r="G487">
        <v>0</v>
      </c>
      <c r="H487">
        <f>IF(G487=1,#REF!,0)</f>
        <v>0</v>
      </c>
    </row>
    <row r="488" spans="2:8">
      <c r="B488"/>
      <c r="G488">
        <v>0</v>
      </c>
      <c r="H488">
        <f>IF(G488=1,#REF!,0)</f>
        <v>0</v>
      </c>
    </row>
    <row r="489" spans="2:8">
      <c r="B489"/>
      <c r="G489">
        <v>0</v>
      </c>
      <c r="H489">
        <f>IF(G489=1,#REF!,0)</f>
        <v>0</v>
      </c>
    </row>
    <row r="490" spans="2:8">
      <c r="B490"/>
      <c r="G490">
        <v>0</v>
      </c>
      <c r="H490">
        <f>IF(G490=1,#REF!,0)</f>
        <v>0</v>
      </c>
    </row>
    <row r="491" spans="2:8">
      <c r="B491"/>
      <c r="G491">
        <v>0</v>
      </c>
      <c r="H491">
        <f>IF(G491=1,#REF!,0)</f>
        <v>0</v>
      </c>
    </row>
    <row r="492" spans="2:8">
      <c r="B492"/>
      <c r="G492">
        <v>0</v>
      </c>
      <c r="H492">
        <f>IF(G492=1,#REF!,0)</f>
        <v>0</v>
      </c>
    </row>
    <row r="493" spans="2:8">
      <c r="B493"/>
      <c r="G493">
        <v>0</v>
      </c>
      <c r="H493">
        <f>IF(G493=1,#REF!,0)</f>
        <v>0</v>
      </c>
    </row>
    <row r="494" spans="2:8">
      <c r="B494"/>
      <c r="G494">
        <v>1</v>
      </c>
      <c r="H494" t="e">
        <f>IF(G494=1,#REF!,0)</f>
        <v>#REF!</v>
      </c>
    </row>
    <row r="495" spans="2:8">
      <c r="B495"/>
      <c r="G495">
        <v>0</v>
      </c>
      <c r="H495">
        <f>IF(G495=1,#REF!,0)</f>
        <v>0</v>
      </c>
    </row>
    <row r="496" spans="2:8">
      <c r="B496"/>
      <c r="G496">
        <v>0</v>
      </c>
      <c r="H496">
        <f>IF(G496=1,#REF!,0)</f>
        <v>0</v>
      </c>
    </row>
    <row r="497" spans="2:8">
      <c r="B497"/>
      <c r="G497">
        <v>0</v>
      </c>
      <c r="H497">
        <f>IF(G497=1,#REF!,0)</f>
        <v>0</v>
      </c>
    </row>
    <row r="498" spans="2:8">
      <c r="B498"/>
      <c r="G498">
        <v>0</v>
      </c>
      <c r="H498">
        <f>IF(G498=1,#REF!,0)</f>
        <v>0</v>
      </c>
    </row>
    <row r="499" spans="2:8">
      <c r="B499"/>
      <c r="G499">
        <v>0</v>
      </c>
      <c r="H499">
        <f>IF(G499=1,#REF!,0)</f>
        <v>0</v>
      </c>
    </row>
    <row r="500" spans="2:8">
      <c r="B500"/>
      <c r="G500">
        <v>0</v>
      </c>
      <c r="H500">
        <f>IF(G500=1,#REF!,0)</f>
        <v>0</v>
      </c>
    </row>
    <row r="501" spans="2:8">
      <c r="B501"/>
      <c r="G501">
        <v>0</v>
      </c>
      <c r="H501">
        <f>IF(G501=1,#REF!,0)</f>
        <v>0</v>
      </c>
    </row>
    <row r="502" spans="2:8">
      <c r="B502"/>
      <c r="G502">
        <v>1</v>
      </c>
      <c r="H502" t="e">
        <f>IF(G502=1,#REF!,0)</f>
        <v>#REF!</v>
      </c>
    </row>
    <row r="503" spans="2:8">
      <c r="B503"/>
      <c r="G503">
        <v>0</v>
      </c>
      <c r="H503">
        <f>IF(G503=1,#REF!,0)</f>
        <v>0</v>
      </c>
    </row>
    <row r="504" spans="2:8">
      <c r="B504"/>
      <c r="G504">
        <v>0</v>
      </c>
      <c r="H504">
        <f>IF(G504=1,#REF!,0)</f>
        <v>0</v>
      </c>
    </row>
    <row r="505" spans="2:8">
      <c r="B505"/>
      <c r="G505">
        <v>0</v>
      </c>
      <c r="H505">
        <f>IF(G505=1,#REF!,0)</f>
        <v>0</v>
      </c>
    </row>
    <row r="506" spans="2:8">
      <c r="B506"/>
      <c r="G506">
        <v>0</v>
      </c>
      <c r="H506">
        <f>IF(G506=1,#REF!,0)</f>
        <v>0</v>
      </c>
    </row>
    <row r="507" spans="2:8">
      <c r="B507"/>
      <c r="G507">
        <v>0</v>
      </c>
      <c r="H507">
        <f>IF(G507=1,#REF!,0)</f>
        <v>0</v>
      </c>
    </row>
    <row r="508" spans="2:8">
      <c r="B508"/>
      <c r="G508">
        <v>0</v>
      </c>
      <c r="H508">
        <f>IF(G508=1,#REF!,0)</f>
        <v>0</v>
      </c>
    </row>
    <row r="509" spans="2:8">
      <c r="B509"/>
      <c r="G509">
        <v>0</v>
      </c>
      <c r="H509">
        <f>IF(G509=1,#REF!,0)</f>
        <v>0</v>
      </c>
    </row>
    <row r="510" spans="2:8">
      <c r="B510"/>
      <c r="G510">
        <v>1</v>
      </c>
      <c r="H510" t="e">
        <f>IF(G510=1,#REF!,0)</f>
        <v>#REF!</v>
      </c>
    </row>
    <row r="511" spans="2:8">
      <c r="B511"/>
      <c r="G511">
        <v>0</v>
      </c>
      <c r="H511">
        <f>IF(G511=1,#REF!,0)</f>
        <v>0</v>
      </c>
    </row>
    <row r="512" spans="2:8">
      <c r="B512"/>
      <c r="G512">
        <v>0</v>
      </c>
      <c r="H512">
        <f>IF(G512=1,#REF!,0)</f>
        <v>0</v>
      </c>
    </row>
    <row r="513" spans="2:8">
      <c r="B513"/>
      <c r="G513">
        <v>0</v>
      </c>
      <c r="H513">
        <f>IF(G513=1,#REF!,0)</f>
        <v>0</v>
      </c>
    </row>
    <row r="514" spans="2:8">
      <c r="B514"/>
      <c r="G514">
        <v>0</v>
      </c>
      <c r="H514">
        <f>IF(G514=1,#REF!,0)</f>
        <v>0</v>
      </c>
    </row>
    <row r="515" spans="2:8">
      <c r="B515"/>
      <c r="G515">
        <v>0</v>
      </c>
      <c r="H515">
        <f>IF(G515=1,#REF!,0)</f>
        <v>0</v>
      </c>
    </row>
    <row r="516" spans="2:8">
      <c r="B516"/>
      <c r="G516">
        <v>0</v>
      </c>
      <c r="H516">
        <f>IF(G516=1,#REF!,0)</f>
        <v>0</v>
      </c>
    </row>
    <row r="517" spans="2:8">
      <c r="B517"/>
      <c r="G517">
        <v>0</v>
      </c>
      <c r="H517">
        <f>IF(G517=1,#REF!,0)</f>
        <v>0</v>
      </c>
    </row>
    <row r="518" spans="2:8">
      <c r="B518"/>
      <c r="G518">
        <v>1</v>
      </c>
      <c r="H518" t="e">
        <f>IF(G518=1,#REF!,0)</f>
        <v>#REF!</v>
      </c>
    </row>
    <row r="519" spans="2:8">
      <c r="B519"/>
      <c r="G519">
        <v>0</v>
      </c>
      <c r="H519">
        <f>IF(G519=1,#REF!,0)</f>
        <v>0</v>
      </c>
    </row>
    <row r="520" spans="2:8">
      <c r="B520"/>
      <c r="G520">
        <v>0</v>
      </c>
      <c r="H520">
        <f>IF(G520=1,#REF!,0)</f>
        <v>0</v>
      </c>
    </row>
    <row r="521" spans="2:8">
      <c r="B521"/>
      <c r="G521">
        <v>0</v>
      </c>
      <c r="H521">
        <f>IF(G521=1,#REF!,0)</f>
        <v>0</v>
      </c>
    </row>
    <row r="522" spans="2:8">
      <c r="B522"/>
      <c r="G522">
        <v>0</v>
      </c>
      <c r="H522">
        <f>IF(G522=1,#REF!,0)</f>
        <v>0</v>
      </c>
    </row>
    <row r="523" spans="2:8">
      <c r="B523"/>
      <c r="G523">
        <v>0</v>
      </c>
      <c r="H523">
        <f>IF(G523=1,#REF!,0)</f>
        <v>0</v>
      </c>
    </row>
    <row r="524" spans="2:8">
      <c r="B524"/>
      <c r="G524">
        <v>0</v>
      </c>
      <c r="H524">
        <f>IF(G524=1,#REF!,0)</f>
        <v>0</v>
      </c>
    </row>
    <row r="525" spans="2:8">
      <c r="B525"/>
      <c r="G525">
        <v>0</v>
      </c>
      <c r="H525">
        <f>IF(G525=1,#REF!,0)</f>
        <v>0</v>
      </c>
    </row>
    <row r="526" spans="2:8">
      <c r="B526"/>
      <c r="G526">
        <v>1</v>
      </c>
      <c r="H526" t="e">
        <f>IF(G526=1,#REF!,0)</f>
        <v>#REF!</v>
      </c>
    </row>
    <row r="527" spans="2:8">
      <c r="B527"/>
      <c r="G527">
        <v>0</v>
      </c>
      <c r="H527">
        <f>IF(G527=1,#REF!,0)</f>
        <v>0</v>
      </c>
    </row>
    <row r="528" spans="2:8">
      <c r="B528"/>
      <c r="G528">
        <v>0</v>
      </c>
      <c r="H528">
        <f>IF(G528=1,#REF!,0)</f>
        <v>0</v>
      </c>
    </row>
    <row r="529" spans="2:8">
      <c r="B529"/>
      <c r="G529">
        <v>0</v>
      </c>
      <c r="H529">
        <f>IF(G529=1,#REF!,0)</f>
        <v>0</v>
      </c>
    </row>
    <row r="530" spans="2:8">
      <c r="B530"/>
      <c r="G530">
        <v>0</v>
      </c>
      <c r="H530">
        <f>IF(G530=1,#REF!,0)</f>
        <v>0</v>
      </c>
    </row>
    <row r="531" spans="2:8">
      <c r="B531"/>
      <c r="G531">
        <v>0</v>
      </c>
      <c r="H531">
        <f>IF(G531=1,#REF!,0)</f>
        <v>0</v>
      </c>
    </row>
    <row r="532" spans="2:8">
      <c r="B532"/>
      <c r="G532">
        <v>0</v>
      </c>
      <c r="H532">
        <f>IF(G532=1,#REF!,0)</f>
        <v>0</v>
      </c>
    </row>
    <row r="533" spans="2:8">
      <c r="B533"/>
      <c r="G533">
        <v>0</v>
      </c>
      <c r="H533">
        <f>IF(G533=1,#REF!,0)</f>
        <v>0</v>
      </c>
    </row>
    <row r="534" spans="2:8">
      <c r="B534"/>
      <c r="G534">
        <v>1</v>
      </c>
      <c r="H534" t="e">
        <f>IF(G534=1,#REF!,0)</f>
        <v>#REF!</v>
      </c>
    </row>
    <row r="535" spans="2:8">
      <c r="B535"/>
      <c r="G535">
        <v>0</v>
      </c>
      <c r="H535">
        <f>IF(G535=1,#REF!,0)</f>
        <v>0</v>
      </c>
    </row>
    <row r="536" spans="2:8">
      <c r="B536"/>
      <c r="G536">
        <v>0</v>
      </c>
      <c r="H536">
        <f>IF(G536=1,#REF!,0)</f>
        <v>0</v>
      </c>
    </row>
    <row r="537" spans="2:8">
      <c r="B537"/>
      <c r="G537">
        <v>0</v>
      </c>
      <c r="H537">
        <f>IF(G537=1,#REF!,0)</f>
        <v>0</v>
      </c>
    </row>
    <row r="538" spans="2:8">
      <c r="B538"/>
      <c r="G538">
        <v>0</v>
      </c>
      <c r="H538">
        <f>IF(G538=1,#REF!,0)</f>
        <v>0</v>
      </c>
    </row>
    <row r="539" spans="2:8">
      <c r="B539"/>
      <c r="G539">
        <v>0</v>
      </c>
      <c r="H539">
        <f>IF(G539=1,#REF!,0)</f>
        <v>0</v>
      </c>
    </row>
    <row r="540" spans="2:8">
      <c r="B540"/>
      <c r="G540">
        <v>0</v>
      </c>
      <c r="H540">
        <f>IF(G540=1,#REF!,0)</f>
        <v>0</v>
      </c>
    </row>
    <row r="541" spans="2:8">
      <c r="B541"/>
      <c r="G541">
        <v>0</v>
      </c>
      <c r="H541">
        <f>IF(G541=1,#REF!,0)</f>
        <v>0</v>
      </c>
    </row>
    <row r="542" spans="2:8">
      <c r="B542"/>
      <c r="G542">
        <v>1</v>
      </c>
      <c r="H542" t="e">
        <f>IF(G542=1,#REF!,0)</f>
        <v>#REF!</v>
      </c>
    </row>
    <row r="543" spans="2:8">
      <c r="B543"/>
      <c r="G543">
        <v>0</v>
      </c>
      <c r="H543">
        <f>IF(G543=1,#REF!,0)</f>
        <v>0</v>
      </c>
    </row>
    <row r="544" spans="2:8">
      <c r="B544"/>
      <c r="G544">
        <v>0</v>
      </c>
      <c r="H544">
        <f>IF(G544=1,#REF!,0)</f>
        <v>0</v>
      </c>
    </row>
    <row r="545" spans="2:8">
      <c r="B545"/>
      <c r="G545">
        <v>0</v>
      </c>
      <c r="H545">
        <f>IF(G545=1,#REF!,0)</f>
        <v>0</v>
      </c>
    </row>
    <row r="546" spans="2:8">
      <c r="B546"/>
      <c r="G546">
        <v>0</v>
      </c>
      <c r="H546">
        <f>IF(G546=1,#REF!,0)</f>
        <v>0</v>
      </c>
    </row>
    <row r="547" spans="2:8">
      <c r="B547"/>
      <c r="G547">
        <v>0</v>
      </c>
      <c r="H547">
        <f>IF(G547=1,#REF!,0)</f>
        <v>0</v>
      </c>
    </row>
    <row r="548" spans="2:8">
      <c r="G548">
        <v>0</v>
      </c>
      <c r="H548">
        <f>IF(G548=1,#REF!,0)</f>
        <v>0</v>
      </c>
    </row>
    <row r="549" spans="2:8">
      <c r="G549">
        <v>0</v>
      </c>
      <c r="H549">
        <f>IF(G549=1,#REF!,0)</f>
        <v>0</v>
      </c>
    </row>
    <row r="550" spans="2:8">
      <c r="G550">
        <v>1</v>
      </c>
      <c r="H550" t="e">
        <f>IF(G550=1,#REF!,0)</f>
        <v>#REF!</v>
      </c>
    </row>
    <row r="551" spans="2:8">
      <c r="G551">
        <v>0</v>
      </c>
      <c r="H551">
        <f>IF(G551=1,#REF!,0)</f>
        <v>0</v>
      </c>
    </row>
    <row r="552" spans="2:8">
      <c r="G552">
        <v>0</v>
      </c>
      <c r="H552">
        <f>IF(G552=1,#REF!,0)</f>
        <v>0</v>
      </c>
    </row>
    <row r="553" spans="2:8">
      <c r="G553">
        <v>0</v>
      </c>
      <c r="H553">
        <f>IF(G553=1,#REF!,0)</f>
        <v>0</v>
      </c>
    </row>
    <row r="554" spans="2:8">
      <c r="G554">
        <v>0</v>
      </c>
      <c r="H554">
        <f>IF(G554=1,#REF!,0)</f>
        <v>0</v>
      </c>
    </row>
    <row r="555" spans="2:8">
      <c r="G555">
        <v>0</v>
      </c>
      <c r="H555">
        <f>IF(G555=1,#REF!,0)</f>
        <v>0</v>
      </c>
    </row>
    <row r="556" spans="2:8">
      <c r="G556">
        <v>0</v>
      </c>
      <c r="H556">
        <f>IF(G556=1,#REF!,0)</f>
        <v>0</v>
      </c>
    </row>
    <row r="557" spans="2:8">
      <c r="G557">
        <v>0</v>
      </c>
      <c r="H557">
        <f>IF(G557=1,#REF!,0)</f>
        <v>0</v>
      </c>
    </row>
    <row r="558" spans="2:8">
      <c r="G558">
        <v>1</v>
      </c>
      <c r="H558" t="e">
        <f>IF(G558=1,#REF!,0)</f>
        <v>#REF!</v>
      </c>
    </row>
  </sheetData>
  <sortState xmlns:xlrd2="http://schemas.microsoft.com/office/spreadsheetml/2017/richdata2" ref="A2:B199">
    <sortCondition ref="A2:A199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AF34D-B210-754B-9E09-13B3F602908F}">
  <sheetPr codeName="Sheet3"/>
  <dimension ref="A1:G26"/>
  <sheetViews>
    <sheetView workbookViewId="0">
      <selection activeCell="A10" sqref="A10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 t="s">
        <v>227</v>
      </c>
      <c r="C1"/>
      <c r="D1"/>
      <c r="F1" t="s">
        <v>6</v>
      </c>
      <c r="G1">
        <v>4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17.682500000000001</v>
      </c>
    </row>
    <row r="3" spans="1:7">
      <c r="A3" t="s">
        <v>46</v>
      </c>
      <c r="B3" s="2">
        <v>4</v>
      </c>
      <c r="D3" s="1">
        <f>IFERROR(VLOOKUP(A3,Ingredients!A:B,2,FALSE)*B3,0)</f>
        <v>9.56</v>
      </c>
    </row>
    <row r="4" spans="1:7">
      <c r="A4" t="s">
        <v>136</v>
      </c>
      <c r="B4" s="2">
        <v>7</v>
      </c>
      <c r="D4" s="1">
        <f>IFERROR(VLOOKUP(A4,Ingredients!A:B,2,FALSE)*B4,0)</f>
        <v>38.43</v>
      </c>
    </row>
    <row r="5" spans="1:7">
      <c r="A5" t="s">
        <v>37</v>
      </c>
      <c r="B5" s="2">
        <v>6</v>
      </c>
      <c r="D5" s="1">
        <f>IFERROR(VLOOKUP(A5,Ingredients!A:B,2,FALSE)*B5,0)</f>
        <v>22.740000000000002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pageSetup orientation="portrait" horizontalDpi="0" verticalDpi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9B007C7-CA49-7F47-9C65-315D5D1D503B}">
          <x14:formula1>
            <xm:f>Ingredients!$A$2:$A$199</xm:f>
          </x14:formula1>
          <xm:sqref>A3:A26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6DFC-ED8F-C749-940F-854B8BC98B2C}">
  <sheetPr codeName="Sheet4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2D93E5B-0A6B-064C-AD16-AA090162E31D}">
          <x14:formula1>
            <xm:f>Ingredients!$A$2:$A$199</xm:f>
          </x14:formula1>
          <xm:sqref>A3:A26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E24F29-86DB-154A-9E0B-2BD0AB107EED}">
  <sheetPr codeName="Sheet5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9C04AD4-E693-0D4A-B66B-A1DC306CEE3B}">
          <x14:formula1>
            <xm:f>Ingredients!$A$2:$A$199</xm:f>
          </x14:formula1>
          <xm:sqref>A3:A26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AD42-83D6-5241-8A8C-9F692E689D40}">
  <sheetPr codeName="Sheet6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F301575-4056-AD45-A8AB-C5195740D843}">
          <x14:formula1>
            <xm:f>Ingredients!$A$2:$A$199</xm:f>
          </x14:formula1>
          <xm:sqref>A3:A26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C364BF-52A6-EF45-A581-0AEF566AAFAB}">
  <sheetPr codeName="Sheet7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E97B6D0-E3AF-6E49-9864-E11A56CEB300}">
          <x14:formula1>
            <xm:f>Ingredients!$A$2:$A$199</xm:f>
          </x14:formula1>
          <xm:sqref>A3:A26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38788-2636-D746-B692-A7832452FCC2}">
  <sheetPr codeName="Sheet8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E01B69-D633-494B-A786-7E8D5B0E1311}">
          <x14:formula1>
            <xm:f>Ingredients!$A$2:$A$199</xm:f>
          </x14:formula1>
          <xm:sqref>A3:A26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2EA373-BD3B-2B44-B04E-FEF6D5013D5D}">
  <sheetPr codeName="Sheet9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B1A91E-85C4-854F-9C1D-E29B9FDB2ACC}">
          <x14:formula1>
            <xm:f>Ingredients!$A$2:$A$199</xm:f>
          </x14:formula1>
          <xm:sqref>A3:A26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C48B2-5EAF-134E-AB47-DDA35FFB8A84}">
  <sheetPr codeName="Sheet10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D2E7958-698D-4344-9803-B774145324E3}">
          <x14:formula1>
            <xm:f>Ingredients!$A$2:$A$199</xm:f>
          </x14:formula1>
          <xm:sqref>A3:A26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B815E-970E-D743-BAD6-C4B5400099C1}">
  <sheetPr codeName="Sheet11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FDFBB2A-57D7-9E4B-A0CA-A06C89FDF282}">
          <x14:formula1>
            <xm:f>Ingredients!$A$2:$A$199</xm:f>
          </x14:formula1>
          <xm:sqref>A3:A26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56029-8931-B943-BEF3-3D8BEF5AE95E}">
  <sheetPr codeName="Sheet12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8F6E104-F915-714D-A90D-0A015D2AF4A9}">
          <x14:formula1>
            <xm:f>Ingredients!$A$2:$A$199</xm:f>
          </x14:formula1>
          <xm:sqref>A3:A26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62C90-C068-434D-BB92-CA62CD4D00CD}">
  <sheetPr codeName="Sheet13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C363701-0F9A-7244-B36E-DEBA0437CBD7}">
          <x14:formula1>
            <xm:f>Ingredients!$A$2:$A$199</xm:f>
          </x14:formula1>
          <xm:sqref>A3:A26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4DFA4E-180C-7C4D-B7F9-1ACB8912872B}">
  <sheetPr codeName="Sheet14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9914B7-8A17-1047-BD72-B18EC4C04A91}">
          <x14:formula1>
            <xm:f>Ingredients!$A$2:$A$199</xm:f>
          </x14:formula1>
          <xm:sqref>A3:A26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9A0CA-D0BC-CD4A-A07B-D3389711CDEA}">
  <sheetPr codeName="Sheet15"/>
  <dimension ref="A1:G26"/>
  <sheetViews>
    <sheetView workbookViewId="0">
      <selection sqref="A1:XFD1048576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476D8D-616D-6240-AD81-C90D41ECBF49}">
          <x14:formula1>
            <xm:f>Ingredients!$A$2:$A$199</xm:f>
          </x14:formula1>
          <xm:sqref>A3:A26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373FBE-B0E3-4B4E-9F9E-DA6F832BC2EC}">
  <sheetPr codeName="Sheet16"/>
  <dimension ref="A1:G26"/>
  <sheetViews>
    <sheetView workbookViewId="0">
      <selection activeCell="B4" sqref="B4"/>
    </sheetView>
  </sheetViews>
  <sheetFormatPr baseColWidth="10" defaultRowHeight="16"/>
  <cols>
    <col min="1" max="1" width="23.1640625" bestFit="1" customWidth="1"/>
    <col min="2" max="3" width="10.83203125" style="2"/>
    <col min="4" max="4" width="10.83203125" style="1"/>
    <col min="6" max="6" width="15.33203125" bestFit="1" customWidth="1"/>
  </cols>
  <sheetData>
    <row r="1" spans="1:7">
      <c r="A1" t="s">
        <v>0</v>
      </c>
      <c r="B1"/>
      <c r="C1"/>
      <c r="D1"/>
      <c r="F1" t="s">
        <v>6</v>
      </c>
    </row>
    <row r="2" spans="1:7">
      <c r="A2" t="s">
        <v>1</v>
      </c>
      <c r="B2" t="s">
        <v>2</v>
      </c>
      <c r="C2" t="s">
        <v>226</v>
      </c>
      <c r="D2" t="s">
        <v>3</v>
      </c>
      <c r="F2" t="s">
        <v>8</v>
      </c>
      <c r="G2" s="1">
        <f>IFERROR(SUM(D3:D1000)/G1,0)</f>
        <v>0</v>
      </c>
    </row>
    <row r="3" spans="1:7">
      <c r="A3" t="s">
        <v>77</v>
      </c>
      <c r="B3" s="2">
        <v>4</v>
      </c>
      <c r="C3" s="2" t="str">
        <f>IF(VLOOKUP(A3,Ingredients!A:D,4,FALSE)="None","None",VLOOKUP(A3,Ingredients!A:D,4,FALSE))</f>
        <v>oz.</v>
      </c>
      <c r="D3" s="1">
        <f>IFERROR(IF(C3="None",VLOOKUP(A3,Ingredients!A:B,2,FALSE)*B3,(VLOOKUP(A3,Ingredients!A:B,2,FALSE)*B3)/VLOOKUP(A3,Ingredients!A:D,3,FALSE)),0)</f>
        <v>0.99750000000000005</v>
      </c>
    </row>
    <row r="4" spans="1:7">
      <c r="A4" t="s">
        <v>13</v>
      </c>
      <c r="B4" s="2">
        <v>0.5</v>
      </c>
      <c r="C4" s="2" t="str">
        <f>IF(VLOOKUP(A4,Ingredients!A:D,3,FALSE)=""," ",VLOOKUP(A4,Ingredients!A:D,3,FALSE))</f>
        <v xml:space="preserve"> </v>
      </c>
      <c r="D4" s="1">
        <f>IFERROR(VLOOKUP(A4,Ingredients!A:B,2,FALSE)*B4,0)</f>
        <v>0.29499999999999998</v>
      </c>
    </row>
    <row r="5" spans="1:7">
      <c r="D5" s="1">
        <f>IFERROR(VLOOKUP(A5,Ingredients!A:B,2,FALSE)*B5,0)</f>
        <v>0</v>
      </c>
    </row>
    <row r="6" spans="1:7">
      <c r="D6" s="1">
        <f>IFERROR(VLOOKUP(A6,Ingredients!A:B,2,FALSE)*B6,0)</f>
        <v>0</v>
      </c>
    </row>
    <row r="7" spans="1:7">
      <c r="D7" s="1">
        <f>IFERROR(VLOOKUP(A7,Ingredients!A:B,2,FALSE)*B7,0)</f>
        <v>0</v>
      </c>
    </row>
    <row r="8" spans="1:7">
      <c r="D8" s="1">
        <f>IFERROR(VLOOKUP(A8,Ingredients!A:B,2,FALSE)*B8,0)</f>
        <v>0</v>
      </c>
    </row>
    <row r="9" spans="1:7">
      <c r="D9" s="1">
        <f>IFERROR(VLOOKUP(A9,Ingredients!A:B,2,FALSE)*B9,0)</f>
        <v>0</v>
      </c>
    </row>
    <row r="10" spans="1:7">
      <c r="D10" s="1">
        <f>IFERROR(VLOOKUP(A10,Ingredients!A:B,2,FALSE)*B10,0)</f>
        <v>0</v>
      </c>
    </row>
    <row r="11" spans="1:7">
      <c r="D11" s="1">
        <f>IFERROR(VLOOKUP(A11,Ingredients!A:B,2,FALSE)*B11,0)</f>
        <v>0</v>
      </c>
    </row>
    <row r="12" spans="1:7">
      <c r="D12" s="1">
        <f>IFERROR(VLOOKUP(A12,Ingredients!A:B,2,FALSE)*B12,0)</f>
        <v>0</v>
      </c>
    </row>
    <row r="13" spans="1:7">
      <c r="D13" s="1">
        <f>IFERROR(VLOOKUP(A13,Ingredients!A:B,2,FALSE)*B13,0)</f>
        <v>0</v>
      </c>
    </row>
    <row r="14" spans="1:7">
      <c r="D14" s="1">
        <f>IFERROR(VLOOKUP(A14,Ingredients!A:B,2,FALSE)*B14,0)</f>
        <v>0</v>
      </c>
    </row>
    <row r="15" spans="1:7">
      <c r="D15" s="1">
        <f>IFERROR(VLOOKUP(A15,Ingredients!A:B,2,FALSE)*B15,0)</f>
        <v>0</v>
      </c>
    </row>
    <row r="16" spans="1:7">
      <c r="D16" s="1">
        <f>IFERROR(VLOOKUP(A16,Ingredients!A:B,2,FALSE)*B16,0)</f>
        <v>0</v>
      </c>
    </row>
    <row r="17" spans="4:4">
      <c r="D17" s="1">
        <f>IFERROR(VLOOKUP(A17,Ingredients!A:B,2,FALSE)*B17,0)</f>
        <v>0</v>
      </c>
    </row>
    <row r="18" spans="4:4">
      <c r="D18" s="1">
        <f>IFERROR(VLOOKUP(A18,Ingredients!A:B,2,FALSE)*B18,0)</f>
        <v>0</v>
      </c>
    </row>
    <row r="19" spans="4:4">
      <c r="D19" s="1">
        <f>IFERROR(VLOOKUP(A19,Ingredients!A:B,2,FALSE)*B19,0)</f>
        <v>0</v>
      </c>
    </row>
    <row r="20" spans="4:4">
      <c r="D20" s="1">
        <f>IFERROR(VLOOKUP(A20,Ingredients!A:B,2,FALSE)*B20,0)</f>
        <v>0</v>
      </c>
    </row>
    <row r="21" spans="4:4">
      <c r="D21" s="1">
        <f>IFERROR(VLOOKUP(A21,Ingredients!A:B,2,FALSE)*B21,0)</f>
        <v>0</v>
      </c>
    </row>
    <row r="22" spans="4:4">
      <c r="D22" s="1">
        <f>IFERROR(VLOOKUP(A22,Ingredients!A:B,2,FALSE)*B22,0)</f>
        <v>0</v>
      </c>
    </row>
    <row r="23" spans="4:4">
      <c r="D23" s="1">
        <f>IFERROR(VLOOKUP(A23,Ingredients!A:B,2,FALSE)*B23,0)</f>
        <v>0</v>
      </c>
    </row>
    <row r="24" spans="4:4">
      <c r="D24" s="1">
        <f>IFERROR(VLOOKUP(A24,Ingredients!A:B,2,FALSE)*B24,0)</f>
        <v>0</v>
      </c>
    </row>
    <row r="25" spans="4:4">
      <c r="D25" s="1">
        <f>IFERROR(VLOOKUP(A25,Ingredients!A:B,2,FALSE)*B25,0)</f>
        <v>0</v>
      </c>
    </row>
    <row r="26" spans="4:4">
      <c r="D26" s="1">
        <f>IFERROR(VLOOKUP(A26,Ingredients!A:B,2,FALSE)*B26,0)</f>
        <v>0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00C3C25-459E-E64D-A1DE-C19DB3E560E8}">
          <x14:formula1>
            <xm:f>Ingredients!$A$2:$A$199</xm:f>
          </x14:formula1>
          <xm:sqref>A3:A26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Summary</vt:lpstr>
      <vt:lpstr>Ingredients</vt:lpstr>
      <vt:lpstr>Meal_1</vt:lpstr>
      <vt:lpstr>Meal_2</vt:lpstr>
      <vt:lpstr>Meal_3</vt:lpstr>
      <vt:lpstr>Meal_4</vt:lpstr>
      <vt:lpstr>Meal_5</vt:lpstr>
      <vt:lpstr>Meal_6</vt:lpstr>
      <vt:lpstr>Meal_7</vt:lpstr>
      <vt:lpstr>Meal_8</vt:lpstr>
      <vt:lpstr>Meal_9</vt:lpstr>
      <vt:lpstr>Meal_10</vt:lpstr>
      <vt:lpstr>Meal_11</vt:lpstr>
      <vt:lpstr>Meal_12</vt:lpstr>
      <vt:lpstr>Meal_13</vt:lpstr>
      <vt:lpstr>Meal_14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Francis, Jack</dc:creator>
  <cp:lastModifiedBy>Jack Francis</cp:lastModifiedBy>
  <dcterms:created xsi:type="dcterms:W3CDTF">2018-09-02T02:47:15Z</dcterms:created>
  <dcterms:modified xsi:type="dcterms:W3CDTF">2020-08-27T06:42:41Z</dcterms:modified>
</cp:coreProperties>
</file>